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evelop\Brivis Networker\Doc\"/>
    </mc:Choice>
  </mc:AlternateContent>
  <xr:revisionPtr revIDLastSave="0" documentId="13_ncr:1_{1F28BB12-10A4-43DC-B401-257CD2A09938}" xr6:coauthVersionLast="47" xr6:coauthVersionMax="47" xr10:uidLastSave="{00000000-0000-0000-0000-000000000000}"/>
  <bookViews>
    <workbookView xWindow="23010" yWindow="4815" windowWidth="26340" windowHeight="22545" xr2:uid="{00000000-000D-0000-FFFF-FFFF00000000}"/>
  </bookViews>
  <sheets>
    <sheet name="brivis - nocontroller" sheetId="7" r:id="rId1"/>
    <sheet name="brivis - powerup" sheetId="6" r:id="rId2"/>
    <sheet name="brivis - off" sheetId="5" r:id="rId3"/>
    <sheet name="brivis - manual turnon" sheetId="1" r:id="rId4"/>
    <sheet name="Sheet2" sheetId="3" r:id="rId5"/>
    <sheet name="Sheet1" sheetId="2" r:id="rId6"/>
  </sheets>
  <definedNames>
    <definedName name="_xlnm._FilterDatabase" localSheetId="3" hidden="1">'brivis - manual turnon'!$A$1:$R$13828</definedName>
    <definedName name="_xlnm._FilterDatabase" localSheetId="0" hidden="1">'brivis - nocontroller'!$A$1:$R$13802</definedName>
    <definedName name="_xlnm._FilterDatabase" localSheetId="2" hidden="1">'brivis - off'!$A$1:$R$13878</definedName>
    <definedName name="_xlnm._FilterDatabase" localSheetId="1" hidden="1">'brivis - powerup'!$A$1:$R$13802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0" i="7" l="1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A30" i="7"/>
  <c r="B30" i="7"/>
  <c r="C30" i="7"/>
  <c r="A31" i="7"/>
  <c r="B31" i="7"/>
  <c r="C31" i="7"/>
  <c r="A32" i="7"/>
  <c r="B32" i="7"/>
  <c r="C32" i="7"/>
  <c r="A33" i="7"/>
  <c r="B33" i="7"/>
  <c r="C33" i="7"/>
  <c r="A34" i="7"/>
  <c r="B34" i="7"/>
  <c r="C34" i="7"/>
  <c r="A35" i="7"/>
  <c r="B35" i="7"/>
  <c r="C35" i="7"/>
  <c r="A36" i="7"/>
  <c r="B36" i="7"/>
  <c r="C36" i="7"/>
  <c r="A37" i="7"/>
  <c r="B37" i="7"/>
  <c r="C37" i="7"/>
  <c r="A38" i="7"/>
  <c r="B38" i="7"/>
  <c r="C38" i="7"/>
  <c r="A39" i="7"/>
  <c r="B39" i="7"/>
  <c r="C39" i="7"/>
  <c r="A40" i="7"/>
  <c r="B40" i="7"/>
  <c r="C40" i="7"/>
  <c r="A41" i="7"/>
  <c r="B41" i="7"/>
  <c r="C41" i="7"/>
  <c r="A42" i="7"/>
  <c r="B42" i="7"/>
  <c r="C42" i="7"/>
  <c r="A43" i="7"/>
  <c r="B43" i="7"/>
  <c r="C43" i="7"/>
  <c r="R29" i="7"/>
  <c r="C29" i="7"/>
  <c r="B29" i="7"/>
  <c r="A29" i="7"/>
  <c r="R28" i="7"/>
  <c r="C28" i="7"/>
  <c r="B28" i="7"/>
  <c r="A28" i="7"/>
  <c r="R27" i="7"/>
  <c r="C27" i="7"/>
  <c r="B27" i="7"/>
  <c r="A27" i="7"/>
  <c r="R26" i="7"/>
  <c r="C26" i="7"/>
  <c r="B26" i="7"/>
  <c r="A26" i="7"/>
  <c r="R25" i="7"/>
  <c r="C25" i="7"/>
  <c r="B25" i="7"/>
  <c r="A25" i="7"/>
  <c r="R24" i="7"/>
  <c r="C24" i="7"/>
  <c r="B24" i="7"/>
  <c r="A24" i="7"/>
  <c r="R23" i="7"/>
  <c r="C23" i="7"/>
  <c r="B23" i="7"/>
  <c r="A23" i="7"/>
  <c r="R22" i="7"/>
  <c r="C22" i="7"/>
  <c r="B22" i="7"/>
  <c r="A22" i="7"/>
  <c r="R21" i="7"/>
  <c r="C21" i="7"/>
  <c r="B21" i="7"/>
  <c r="A21" i="7"/>
  <c r="R20" i="7"/>
  <c r="C20" i="7"/>
  <c r="B20" i="7"/>
  <c r="A20" i="7"/>
  <c r="R19" i="7"/>
  <c r="C19" i="7"/>
  <c r="B19" i="7"/>
  <c r="A19" i="7"/>
  <c r="R18" i="7"/>
  <c r="C18" i="7"/>
  <c r="B18" i="7"/>
  <c r="A18" i="7"/>
  <c r="R17" i="7"/>
  <c r="C17" i="7"/>
  <c r="B17" i="7"/>
  <c r="A17" i="7"/>
  <c r="R16" i="7"/>
  <c r="C16" i="7"/>
  <c r="B16" i="7"/>
  <c r="A16" i="7"/>
  <c r="R15" i="7"/>
  <c r="C15" i="7"/>
  <c r="B15" i="7"/>
  <c r="A15" i="7"/>
  <c r="R14" i="7"/>
  <c r="C14" i="7"/>
  <c r="B14" i="7"/>
  <c r="A14" i="7"/>
  <c r="R13" i="7"/>
  <c r="C13" i="7"/>
  <c r="B13" i="7"/>
  <c r="A13" i="7"/>
  <c r="R12" i="7"/>
  <c r="C12" i="7"/>
  <c r="B12" i="7"/>
  <c r="A12" i="7"/>
  <c r="R11" i="7"/>
  <c r="C11" i="7"/>
  <c r="B11" i="7"/>
  <c r="A11" i="7"/>
  <c r="R10" i="7"/>
  <c r="C10" i="7"/>
  <c r="B10" i="7"/>
  <c r="A10" i="7"/>
  <c r="R9" i="7"/>
  <c r="C9" i="7"/>
  <c r="B9" i="7"/>
  <c r="A9" i="7"/>
  <c r="R8" i="7"/>
  <c r="C8" i="7"/>
  <c r="B8" i="7"/>
  <c r="A8" i="7"/>
  <c r="R7" i="7"/>
  <c r="C7" i="7"/>
  <c r="B7" i="7"/>
  <c r="A7" i="7"/>
  <c r="R6" i="7"/>
  <c r="C6" i="7"/>
  <c r="B6" i="7"/>
  <c r="A6" i="7"/>
  <c r="R5" i="7"/>
  <c r="C5" i="7"/>
  <c r="B5" i="7"/>
  <c r="A5" i="7"/>
  <c r="R4" i="7"/>
  <c r="C4" i="7"/>
  <c r="B4" i="7"/>
  <c r="A4" i="7"/>
  <c r="R3" i="7"/>
  <c r="C3" i="7"/>
  <c r="B3" i="7"/>
  <c r="A3" i="7"/>
  <c r="R2" i="7"/>
  <c r="B2" i="7"/>
  <c r="A2" i="7"/>
  <c r="R29" i="6"/>
  <c r="C29" i="6"/>
  <c r="B29" i="6"/>
  <c r="A29" i="6"/>
  <c r="R28" i="6"/>
  <c r="C28" i="6"/>
  <c r="B28" i="6"/>
  <c r="A28" i="6"/>
  <c r="R27" i="6"/>
  <c r="C27" i="6"/>
  <c r="B27" i="6"/>
  <c r="A27" i="6"/>
  <c r="R26" i="6"/>
  <c r="C26" i="6"/>
  <c r="B26" i="6"/>
  <c r="A26" i="6"/>
  <c r="R25" i="6"/>
  <c r="C25" i="6"/>
  <c r="B25" i="6"/>
  <c r="A25" i="6"/>
  <c r="R24" i="6"/>
  <c r="C24" i="6"/>
  <c r="B24" i="6"/>
  <c r="A24" i="6"/>
  <c r="R23" i="6"/>
  <c r="C23" i="6"/>
  <c r="B23" i="6"/>
  <c r="A23" i="6"/>
  <c r="R22" i="6"/>
  <c r="C22" i="6"/>
  <c r="B22" i="6"/>
  <c r="A22" i="6"/>
  <c r="R21" i="6"/>
  <c r="C21" i="6"/>
  <c r="B21" i="6"/>
  <c r="A21" i="6"/>
  <c r="R20" i="6"/>
  <c r="C20" i="6"/>
  <c r="B20" i="6"/>
  <c r="A20" i="6"/>
  <c r="R19" i="6"/>
  <c r="C19" i="6"/>
  <c r="B19" i="6"/>
  <c r="A19" i="6"/>
  <c r="R18" i="6"/>
  <c r="C18" i="6"/>
  <c r="B18" i="6"/>
  <c r="A18" i="6"/>
  <c r="R17" i="6"/>
  <c r="C17" i="6"/>
  <c r="B17" i="6"/>
  <c r="A17" i="6"/>
  <c r="R16" i="6"/>
  <c r="C16" i="6"/>
  <c r="B16" i="6"/>
  <c r="A16" i="6"/>
  <c r="R15" i="6"/>
  <c r="C15" i="6"/>
  <c r="B15" i="6"/>
  <c r="A15" i="6"/>
  <c r="R14" i="6"/>
  <c r="C14" i="6"/>
  <c r="B14" i="6"/>
  <c r="A14" i="6"/>
  <c r="R13" i="6"/>
  <c r="C13" i="6"/>
  <c r="B13" i="6"/>
  <c r="A13" i="6"/>
  <c r="R12" i="6"/>
  <c r="C12" i="6"/>
  <c r="B12" i="6"/>
  <c r="A12" i="6"/>
  <c r="R11" i="6"/>
  <c r="C11" i="6"/>
  <c r="B11" i="6"/>
  <c r="A11" i="6"/>
  <c r="R10" i="6"/>
  <c r="C10" i="6"/>
  <c r="B10" i="6"/>
  <c r="A10" i="6"/>
  <c r="R9" i="6"/>
  <c r="C9" i="6"/>
  <c r="B9" i="6"/>
  <c r="A9" i="6"/>
  <c r="R8" i="6"/>
  <c r="C8" i="6"/>
  <c r="B8" i="6"/>
  <c r="A8" i="6"/>
  <c r="R7" i="6"/>
  <c r="C7" i="6"/>
  <c r="B7" i="6"/>
  <c r="A7" i="6"/>
  <c r="R6" i="6"/>
  <c r="C6" i="6"/>
  <c r="B6" i="6"/>
  <c r="A6" i="6"/>
  <c r="R5" i="6"/>
  <c r="C5" i="6"/>
  <c r="B5" i="6"/>
  <c r="A5" i="6"/>
  <c r="R4" i="6"/>
  <c r="C4" i="6"/>
  <c r="B4" i="6"/>
  <c r="A4" i="6"/>
  <c r="R3" i="6"/>
  <c r="C3" i="6"/>
  <c r="B3" i="6"/>
  <c r="A3" i="6"/>
  <c r="R2" i="6"/>
  <c r="B2" i="6"/>
  <c r="A2" i="6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364" i="1"/>
  <c r="B364" i="1"/>
  <c r="C364" i="1"/>
  <c r="A365" i="1"/>
  <c r="B365" i="1"/>
  <c r="C365" i="1"/>
  <c r="A366" i="1"/>
  <c r="B366" i="1"/>
  <c r="C366" i="1"/>
  <c r="A367" i="1"/>
  <c r="B367" i="1"/>
  <c r="C367" i="1"/>
  <c r="A368" i="1"/>
  <c r="B368" i="1"/>
  <c r="C368" i="1"/>
  <c r="A369" i="1"/>
  <c r="B369" i="1"/>
  <c r="C369" i="1"/>
  <c r="A370" i="1"/>
  <c r="B370" i="1"/>
  <c r="C370" i="1"/>
  <c r="A371" i="1"/>
  <c r="B371" i="1"/>
  <c r="C371" i="1"/>
  <c r="A372" i="1"/>
  <c r="B372" i="1"/>
  <c r="C372" i="1"/>
  <c r="A373" i="1"/>
  <c r="B373" i="1"/>
  <c r="C373" i="1"/>
  <c r="A374" i="1"/>
  <c r="B374" i="1"/>
  <c r="C374" i="1"/>
  <c r="A375" i="1"/>
  <c r="B375" i="1"/>
  <c r="C375" i="1"/>
  <c r="A376" i="1"/>
  <c r="B376" i="1"/>
  <c r="C376" i="1"/>
  <c r="A377" i="1"/>
  <c r="B377" i="1"/>
  <c r="C377" i="1"/>
  <c r="A378" i="1"/>
  <c r="B378" i="1"/>
  <c r="C378" i="1"/>
  <c r="A379" i="1"/>
  <c r="B379" i="1"/>
  <c r="C379" i="1"/>
  <c r="A380" i="1"/>
  <c r="B380" i="1"/>
  <c r="C380" i="1"/>
  <c r="A381" i="1"/>
  <c r="B381" i="1"/>
  <c r="C381" i="1"/>
  <c r="A382" i="1"/>
  <c r="B382" i="1"/>
  <c r="C382" i="1"/>
  <c r="A383" i="1"/>
  <c r="B383" i="1"/>
  <c r="C383" i="1"/>
  <c r="A384" i="1"/>
  <c r="B384" i="1"/>
  <c r="C384" i="1"/>
  <c r="A385" i="1"/>
  <c r="B385" i="1"/>
  <c r="C385" i="1"/>
  <c r="A386" i="1"/>
  <c r="B386" i="1"/>
  <c r="C386" i="1"/>
  <c r="A387" i="1"/>
  <c r="B387" i="1"/>
  <c r="C387" i="1"/>
  <c r="A388" i="1"/>
  <c r="B388" i="1"/>
  <c r="C388" i="1"/>
  <c r="A389" i="1"/>
  <c r="B389" i="1"/>
  <c r="C389" i="1"/>
  <c r="A390" i="1"/>
  <c r="B390" i="1"/>
  <c r="C390" i="1"/>
  <c r="A391" i="1"/>
  <c r="B391" i="1"/>
  <c r="C391" i="1"/>
  <c r="A392" i="1"/>
  <c r="B392" i="1"/>
  <c r="C392" i="1"/>
  <c r="A393" i="1"/>
  <c r="B393" i="1"/>
  <c r="C393" i="1"/>
  <c r="A394" i="1"/>
  <c r="B394" i="1"/>
  <c r="C394" i="1"/>
  <c r="A395" i="1"/>
  <c r="B395" i="1"/>
  <c r="C395" i="1"/>
  <c r="A396" i="1"/>
  <c r="B396" i="1"/>
  <c r="C396" i="1"/>
  <c r="A397" i="1"/>
  <c r="B397" i="1"/>
  <c r="C397" i="1"/>
  <c r="A398" i="1"/>
  <c r="B398" i="1"/>
  <c r="C398" i="1"/>
  <c r="A399" i="1"/>
  <c r="B399" i="1"/>
  <c r="C399" i="1"/>
  <c r="A400" i="1"/>
  <c r="B400" i="1"/>
  <c r="C400" i="1"/>
  <c r="A401" i="1"/>
  <c r="B401" i="1"/>
  <c r="C401" i="1"/>
  <c r="A402" i="1"/>
  <c r="B402" i="1"/>
  <c r="C402" i="1"/>
  <c r="A403" i="1"/>
  <c r="B403" i="1"/>
  <c r="C403" i="1"/>
  <c r="A404" i="1"/>
  <c r="B404" i="1"/>
  <c r="C404" i="1"/>
  <c r="A405" i="1"/>
  <c r="B405" i="1"/>
  <c r="C405" i="1"/>
  <c r="A406" i="1"/>
  <c r="B406" i="1"/>
  <c r="C406" i="1"/>
  <c r="A407" i="1"/>
  <c r="B407" i="1"/>
  <c r="C407" i="1"/>
  <c r="A408" i="1"/>
  <c r="B408" i="1"/>
  <c r="C408" i="1"/>
  <c r="A409" i="1"/>
  <c r="B409" i="1"/>
  <c r="C409" i="1"/>
  <c r="A410" i="1"/>
  <c r="B410" i="1"/>
  <c r="C410" i="1"/>
  <c r="A411" i="1"/>
  <c r="B411" i="1"/>
  <c r="C411" i="1"/>
  <c r="A412" i="1"/>
  <c r="B412" i="1"/>
  <c r="C412" i="1"/>
  <c r="A413" i="1"/>
  <c r="B413" i="1"/>
  <c r="C413" i="1"/>
  <c r="A414" i="1"/>
  <c r="B414" i="1"/>
  <c r="C414" i="1"/>
  <c r="A415" i="1"/>
  <c r="B415" i="1"/>
  <c r="C415" i="1"/>
  <c r="A416" i="1"/>
  <c r="B416" i="1"/>
  <c r="C416" i="1"/>
  <c r="A417" i="1"/>
  <c r="B417" i="1"/>
  <c r="C417" i="1"/>
  <c r="A418" i="1"/>
  <c r="B418" i="1"/>
  <c r="C418" i="1"/>
  <c r="A419" i="1"/>
  <c r="B419" i="1"/>
  <c r="C419" i="1"/>
  <c r="A420" i="1"/>
  <c r="B420" i="1"/>
  <c r="C420" i="1"/>
  <c r="A421" i="1"/>
  <c r="B421" i="1"/>
  <c r="C421" i="1"/>
  <c r="A422" i="1"/>
  <c r="B422" i="1"/>
  <c r="C422" i="1"/>
  <c r="A423" i="1"/>
  <c r="B423" i="1"/>
  <c r="C423" i="1"/>
  <c r="A424" i="1"/>
  <c r="B424" i="1"/>
  <c r="C424" i="1"/>
  <c r="A425" i="1"/>
  <c r="B425" i="1"/>
  <c r="C425" i="1"/>
  <c r="A426" i="1"/>
  <c r="B426" i="1"/>
  <c r="C426" i="1"/>
  <c r="A427" i="1"/>
  <c r="B427" i="1"/>
  <c r="C427" i="1"/>
  <c r="A428" i="1"/>
  <c r="B428" i="1"/>
  <c r="C428" i="1"/>
  <c r="A429" i="1"/>
  <c r="B429" i="1"/>
  <c r="C429" i="1"/>
  <c r="A430" i="1"/>
  <c r="B430" i="1"/>
  <c r="C430" i="1"/>
  <c r="A431" i="1"/>
  <c r="B431" i="1"/>
  <c r="C431" i="1"/>
  <c r="A432" i="1"/>
  <c r="B432" i="1"/>
  <c r="C432" i="1"/>
  <c r="A433" i="1"/>
  <c r="B433" i="1"/>
  <c r="C433" i="1"/>
  <c r="A434" i="1"/>
  <c r="B434" i="1"/>
  <c r="C434" i="1"/>
  <c r="A435" i="1"/>
  <c r="B435" i="1"/>
  <c r="C435" i="1"/>
  <c r="A436" i="1"/>
  <c r="B436" i="1"/>
  <c r="C436" i="1"/>
  <c r="A437" i="1"/>
  <c r="B437" i="1"/>
  <c r="C437" i="1"/>
  <c r="A438" i="1"/>
  <c r="B438" i="1"/>
  <c r="C438" i="1"/>
  <c r="A439" i="1"/>
  <c r="B439" i="1"/>
  <c r="C439" i="1"/>
  <c r="A440" i="1"/>
  <c r="B440" i="1"/>
  <c r="C440" i="1"/>
  <c r="A441" i="1"/>
  <c r="B441" i="1"/>
  <c r="C441" i="1"/>
  <c r="A442" i="1"/>
  <c r="B442" i="1"/>
  <c r="C442" i="1"/>
  <c r="A443" i="1"/>
  <c r="B443" i="1"/>
  <c r="C443" i="1"/>
  <c r="A444" i="1"/>
  <c r="B444" i="1"/>
  <c r="C444" i="1"/>
  <c r="A445" i="1"/>
  <c r="B445" i="1"/>
  <c r="C445" i="1"/>
  <c r="A446" i="1"/>
  <c r="B446" i="1"/>
  <c r="C446" i="1"/>
  <c r="A447" i="1"/>
  <c r="B447" i="1"/>
  <c r="C447" i="1"/>
  <c r="A448" i="1"/>
  <c r="B448" i="1"/>
  <c r="C448" i="1"/>
  <c r="A449" i="1"/>
  <c r="B449" i="1"/>
  <c r="C449" i="1"/>
  <c r="A450" i="1"/>
  <c r="B450" i="1"/>
  <c r="C450" i="1"/>
  <c r="A451" i="1"/>
  <c r="B451" i="1"/>
  <c r="C451" i="1"/>
  <c r="A452" i="1"/>
  <c r="B452" i="1"/>
  <c r="C452" i="1"/>
  <c r="A453" i="1"/>
  <c r="B453" i="1"/>
  <c r="C453" i="1"/>
  <c r="A454" i="1"/>
  <c r="B454" i="1"/>
  <c r="C454" i="1"/>
  <c r="A455" i="1"/>
  <c r="B455" i="1"/>
  <c r="C455" i="1"/>
  <c r="A456" i="1"/>
  <c r="B456" i="1"/>
  <c r="C456" i="1"/>
  <c r="A457" i="1"/>
  <c r="B457" i="1"/>
  <c r="C457" i="1"/>
  <c r="A458" i="1"/>
  <c r="B458" i="1"/>
  <c r="C458" i="1"/>
  <c r="A459" i="1"/>
  <c r="B459" i="1"/>
  <c r="C459" i="1"/>
  <c r="A460" i="1"/>
  <c r="B460" i="1"/>
  <c r="C460" i="1"/>
  <c r="A461" i="1"/>
  <c r="B461" i="1"/>
  <c r="C461" i="1"/>
  <c r="A462" i="1"/>
  <c r="B462" i="1"/>
  <c r="C462" i="1"/>
  <c r="A463" i="1"/>
  <c r="B463" i="1"/>
  <c r="C463" i="1"/>
  <c r="A464" i="1"/>
  <c r="B464" i="1"/>
  <c r="C464" i="1"/>
  <c r="A465" i="1"/>
  <c r="B465" i="1"/>
  <c r="C465" i="1"/>
  <c r="A466" i="1"/>
  <c r="B466" i="1"/>
  <c r="C466" i="1"/>
  <c r="A467" i="1"/>
  <c r="B467" i="1"/>
  <c r="C467" i="1"/>
  <c r="A468" i="1"/>
  <c r="B468" i="1"/>
  <c r="C468" i="1"/>
  <c r="A469" i="1"/>
  <c r="B469" i="1"/>
  <c r="C469" i="1"/>
  <c r="A470" i="1"/>
  <c r="B470" i="1"/>
  <c r="C470" i="1"/>
  <c r="A471" i="1"/>
  <c r="B471" i="1"/>
  <c r="C471" i="1"/>
  <c r="A472" i="1"/>
  <c r="B472" i="1"/>
  <c r="C472" i="1"/>
  <c r="A473" i="1"/>
  <c r="B473" i="1"/>
  <c r="C473" i="1"/>
  <c r="A474" i="1"/>
  <c r="B474" i="1"/>
  <c r="C474" i="1"/>
  <c r="A475" i="1"/>
  <c r="B475" i="1"/>
  <c r="C475" i="1"/>
  <c r="A476" i="1"/>
  <c r="B476" i="1"/>
  <c r="C476" i="1"/>
  <c r="A477" i="1"/>
  <c r="B477" i="1"/>
  <c r="C477" i="1"/>
  <c r="A478" i="1"/>
  <c r="B478" i="1"/>
  <c r="C478" i="1"/>
  <c r="A479" i="1"/>
  <c r="B479" i="1"/>
  <c r="C479" i="1"/>
  <c r="A480" i="1"/>
  <c r="B480" i="1"/>
  <c r="C480" i="1"/>
  <c r="A481" i="1"/>
  <c r="B481" i="1"/>
  <c r="C481" i="1"/>
  <c r="A482" i="1"/>
  <c r="B482" i="1"/>
  <c r="C482" i="1"/>
  <c r="A483" i="1"/>
  <c r="B483" i="1"/>
  <c r="C483" i="1"/>
  <c r="A484" i="1"/>
  <c r="B484" i="1"/>
  <c r="C484" i="1"/>
  <c r="A485" i="1"/>
  <c r="B485" i="1"/>
  <c r="C485" i="1"/>
  <c r="A486" i="1"/>
  <c r="B486" i="1"/>
  <c r="C486" i="1"/>
  <c r="A487" i="1"/>
  <c r="B487" i="1"/>
  <c r="C487" i="1"/>
  <c r="A488" i="1"/>
  <c r="B488" i="1"/>
  <c r="C488" i="1"/>
  <c r="A489" i="1"/>
  <c r="B489" i="1"/>
  <c r="C489" i="1"/>
  <c r="A490" i="1"/>
  <c r="B490" i="1"/>
  <c r="C490" i="1"/>
  <c r="A491" i="1"/>
  <c r="B491" i="1"/>
  <c r="C491" i="1"/>
  <c r="A492" i="1"/>
  <c r="B492" i="1"/>
  <c r="C492" i="1"/>
  <c r="A493" i="1"/>
  <c r="B493" i="1"/>
  <c r="C493" i="1"/>
  <c r="A494" i="1"/>
  <c r="B494" i="1"/>
  <c r="C494" i="1"/>
  <c r="A495" i="1"/>
  <c r="B495" i="1"/>
  <c r="C495" i="1"/>
  <c r="A496" i="1"/>
  <c r="B496" i="1"/>
  <c r="C496" i="1"/>
  <c r="A497" i="1"/>
  <c r="B497" i="1"/>
  <c r="C497" i="1"/>
  <c r="A498" i="1"/>
  <c r="B498" i="1"/>
  <c r="C498" i="1"/>
  <c r="A499" i="1"/>
  <c r="B499" i="1"/>
  <c r="C499" i="1"/>
  <c r="A500" i="1"/>
  <c r="B500" i="1"/>
  <c r="C500" i="1"/>
  <c r="A501" i="1"/>
  <c r="B501" i="1"/>
  <c r="C501" i="1"/>
  <c r="A502" i="1"/>
  <c r="B502" i="1"/>
  <c r="C502" i="1"/>
  <c r="A503" i="1"/>
  <c r="B503" i="1"/>
  <c r="C503" i="1"/>
  <c r="A504" i="1"/>
  <c r="B504" i="1"/>
  <c r="C504" i="1"/>
  <c r="A505" i="1"/>
  <c r="B505" i="1"/>
  <c r="C505" i="1"/>
  <c r="A506" i="1"/>
  <c r="B506" i="1"/>
  <c r="C506" i="1"/>
  <c r="A507" i="1"/>
  <c r="B507" i="1"/>
  <c r="C507" i="1"/>
  <c r="A508" i="1"/>
  <c r="B508" i="1"/>
  <c r="C508" i="1"/>
  <c r="A509" i="1"/>
  <c r="B509" i="1"/>
  <c r="C509" i="1"/>
  <c r="A510" i="1"/>
  <c r="B510" i="1"/>
  <c r="C510" i="1"/>
  <c r="A511" i="1"/>
  <c r="B511" i="1"/>
  <c r="C511" i="1"/>
  <c r="A512" i="1"/>
  <c r="B512" i="1"/>
  <c r="C512" i="1"/>
  <c r="A513" i="1"/>
  <c r="B513" i="1"/>
  <c r="C513" i="1"/>
  <c r="A514" i="1"/>
  <c r="B514" i="1"/>
  <c r="C514" i="1"/>
  <c r="A515" i="1"/>
  <c r="B515" i="1"/>
  <c r="C515" i="1"/>
  <c r="A516" i="1"/>
  <c r="B516" i="1"/>
  <c r="C516" i="1"/>
  <c r="A517" i="1"/>
  <c r="B517" i="1"/>
  <c r="C517" i="1"/>
  <c r="A518" i="1"/>
  <c r="B518" i="1"/>
  <c r="C518" i="1"/>
  <c r="A519" i="1"/>
  <c r="B519" i="1"/>
  <c r="C519" i="1"/>
  <c r="A520" i="1"/>
  <c r="B520" i="1"/>
  <c r="C520" i="1"/>
  <c r="A521" i="1"/>
  <c r="B521" i="1"/>
  <c r="C521" i="1"/>
  <c r="A522" i="1"/>
  <c r="B522" i="1"/>
  <c r="C522" i="1"/>
  <c r="A523" i="1"/>
  <c r="B523" i="1"/>
  <c r="C523" i="1"/>
  <c r="A524" i="1"/>
  <c r="B524" i="1"/>
  <c r="C524" i="1"/>
  <c r="A525" i="1"/>
  <c r="B525" i="1"/>
  <c r="C525" i="1"/>
  <c r="A526" i="1"/>
  <c r="B526" i="1"/>
  <c r="C526" i="1"/>
  <c r="A527" i="1"/>
  <c r="B527" i="1"/>
  <c r="C527" i="1"/>
  <c r="A528" i="1"/>
  <c r="B528" i="1"/>
  <c r="C528" i="1"/>
  <c r="A529" i="1"/>
  <c r="B529" i="1"/>
  <c r="C529" i="1"/>
  <c r="A530" i="1"/>
  <c r="B530" i="1"/>
  <c r="C530" i="1"/>
  <c r="A531" i="1"/>
  <c r="B531" i="1"/>
  <c r="C531" i="1"/>
  <c r="A532" i="1"/>
  <c r="B532" i="1"/>
  <c r="C532" i="1"/>
  <c r="A533" i="1"/>
  <c r="B533" i="1"/>
  <c r="C533" i="1"/>
  <c r="A534" i="1"/>
  <c r="B534" i="1"/>
  <c r="C534" i="1"/>
  <c r="A535" i="1"/>
  <c r="B535" i="1"/>
  <c r="C535" i="1"/>
  <c r="A536" i="1"/>
  <c r="B536" i="1"/>
  <c r="C536" i="1"/>
  <c r="A537" i="1"/>
  <c r="B537" i="1"/>
  <c r="C537" i="1"/>
  <c r="A538" i="1"/>
  <c r="B538" i="1"/>
  <c r="C538" i="1"/>
  <c r="A539" i="1"/>
  <c r="B539" i="1"/>
  <c r="C539" i="1"/>
  <c r="A540" i="1"/>
  <c r="B540" i="1"/>
  <c r="C540" i="1"/>
  <c r="A541" i="1"/>
  <c r="B541" i="1"/>
  <c r="C541" i="1"/>
  <c r="A542" i="1"/>
  <c r="B542" i="1"/>
  <c r="C542" i="1"/>
  <c r="A543" i="1"/>
  <c r="B543" i="1"/>
  <c r="C543" i="1"/>
  <c r="A544" i="1"/>
  <c r="B544" i="1"/>
  <c r="C544" i="1"/>
  <c r="A545" i="1"/>
  <c r="B545" i="1"/>
  <c r="C545" i="1"/>
  <c r="A546" i="1"/>
  <c r="B546" i="1"/>
  <c r="C546" i="1"/>
  <c r="A547" i="1"/>
  <c r="B547" i="1"/>
  <c r="C547" i="1"/>
  <c r="A548" i="1"/>
  <c r="B548" i="1"/>
  <c r="C548" i="1"/>
  <c r="A549" i="1"/>
  <c r="B549" i="1"/>
  <c r="C549" i="1"/>
  <c r="A550" i="1"/>
  <c r="B550" i="1"/>
  <c r="C550" i="1"/>
  <c r="A551" i="1"/>
  <c r="B551" i="1"/>
  <c r="C551" i="1"/>
  <c r="A552" i="1"/>
  <c r="B552" i="1"/>
  <c r="C552" i="1"/>
  <c r="A553" i="1"/>
  <c r="B553" i="1"/>
  <c r="C553" i="1"/>
  <c r="A554" i="1"/>
  <c r="B554" i="1"/>
  <c r="C554" i="1"/>
  <c r="A555" i="1"/>
  <c r="B555" i="1"/>
  <c r="C555" i="1"/>
  <c r="A556" i="1"/>
  <c r="B556" i="1"/>
  <c r="C556" i="1"/>
  <c r="A557" i="1"/>
  <c r="B557" i="1"/>
  <c r="C557" i="1"/>
  <c r="A558" i="1"/>
  <c r="B558" i="1"/>
  <c r="C558" i="1"/>
  <c r="A559" i="1"/>
  <c r="B559" i="1"/>
  <c r="C559" i="1"/>
  <c r="A560" i="1"/>
  <c r="B560" i="1"/>
  <c r="C560" i="1"/>
  <c r="A561" i="1"/>
  <c r="B561" i="1"/>
  <c r="C561" i="1"/>
  <c r="A562" i="1"/>
  <c r="B562" i="1"/>
  <c r="C562" i="1"/>
  <c r="A563" i="1"/>
  <c r="B563" i="1"/>
  <c r="C563" i="1"/>
  <c r="A564" i="1"/>
  <c r="B564" i="1"/>
  <c r="C564" i="1"/>
  <c r="A565" i="1"/>
  <c r="B565" i="1"/>
  <c r="C565" i="1"/>
  <c r="A566" i="1"/>
  <c r="B566" i="1"/>
  <c r="C566" i="1"/>
  <c r="A567" i="1"/>
  <c r="B567" i="1"/>
  <c r="C567" i="1"/>
  <c r="A568" i="1"/>
  <c r="B568" i="1"/>
  <c r="C568" i="1"/>
  <c r="A569" i="1"/>
  <c r="B569" i="1"/>
  <c r="C569" i="1"/>
  <c r="A570" i="1"/>
  <c r="B570" i="1"/>
  <c r="C570" i="1"/>
  <c r="A571" i="1"/>
  <c r="B571" i="1"/>
  <c r="C571" i="1"/>
  <c r="A572" i="1"/>
  <c r="B572" i="1"/>
  <c r="C572" i="1"/>
  <c r="A573" i="1"/>
  <c r="B573" i="1"/>
  <c r="C573" i="1"/>
  <c r="A574" i="1"/>
  <c r="B574" i="1"/>
  <c r="C574" i="1"/>
  <c r="A575" i="1"/>
  <c r="B575" i="1"/>
  <c r="C575" i="1"/>
  <c r="A576" i="1"/>
  <c r="B576" i="1"/>
  <c r="C576" i="1"/>
  <c r="A577" i="1"/>
  <c r="B577" i="1"/>
  <c r="C577" i="1"/>
  <c r="A578" i="1"/>
  <c r="B578" i="1"/>
  <c r="C578" i="1"/>
  <c r="A579" i="1"/>
  <c r="B579" i="1"/>
  <c r="C579" i="1"/>
  <c r="A580" i="1"/>
  <c r="B580" i="1"/>
  <c r="C580" i="1"/>
  <c r="A581" i="1"/>
  <c r="B581" i="1"/>
  <c r="C581" i="1"/>
  <c r="A582" i="1"/>
  <c r="B582" i="1"/>
  <c r="C582" i="1"/>
  <c r="A583" i="1"/>
  <c r="B583" i="1"/>
  <c r="C583" i="1"/>
  <c r="A584" i="1"/>
  <c r="B584" i="1"/>
  <c r="C584" i="1"/>
  <c r="A585" i="1"/>
  <c r="B585" i="1"/>
  <c r="C585" i="1"/>
  <c r="A586" i="1"/>
  <c r="B586" i="1"/>
  <c r="C586" i="1"/>
  <c r="A587" i="1"/>
  <c r="B587" i="1"/>
  <c r="C587" i="1"/>
  <c r="A588" i="1"/>
  <c r="B588" i="1"/>
  <c r="C588" i="1"/>
  <c r="A589" i="1"/>
  <c r="B589" i="1"/>
  <c r="C589" i="1"/>
  <c r="A590" i="1"/>
  <c r="B590" i="1"/>
  <c r="C590" i="1"/>
  <c r="A591" i="1"/>
  <c r="B591" i="1"/>
  <c r="C591" i="1"/>
  <c r="A592" i="1"/>
  <c r="B592" i="1"/>
  <c r="C592" i="1"/>
  <c r="A593" i="1"/>
  <c r="B593" i="1"/>
  <c r="C593" i="1"/>
  <c r="A594" i="1"/>
  <c r="B594" i="1"/>
  <c r="C594" i="1"/>
  <c r="A595" i="1"/>
  <c r="B595" i="1"/>
  <c r="C595" i="1"/>
  <c r="A596" i="1"/>
  <c r="B596" i="1"/>
  <c r="C596" i="1"/>
  <c r="A597" i="1"/>
  <c r="B597" i="1"/>
  <c r="C597" i="1"/>
  <c r="A598" i="1"/>
  <c r="B598" i="1"/>
  <c r="C598" i="1"/>
  <c r="A599" i="1"/>
  <c r="B599" i="1"/>
  <c r="C599" i="1"/>
  <c r="A600" i="1"/>
  <c r="B600" i="1"/>
  <c r="C600" i="1"/>
  <c r="A601" i="1"/>
  <c r="B601" i="1"/>
  <c r="C601" i="1"/>
  <c r="A602" i="1"/>
  <c r="B602" i="1"/>
  <c r="C602" i="1"/>
  <c r="A603" i="1"/>
  <c r="B603" i="1"/>
  <c r="C603" i="1"/>
  <c r="A604" i="1"/>
  <c r="B604" i="1"/>
  <c r="C604" i="1"/>
  <c r="A605" i="1"/>
  <c r="B605" i="1"/>
  <c r="C605" i="1"/>
  <c r="A606" i="1"/>
  <c r="B606" i="1"/>
  <c r="C606" i="1"/>
  <c r="A607" i="1"/>
  <c r="B607" i="1"/>
  <c r="C607" i="1"/>
  <c r="A608" i="1"/>
  <c r="B608" i="1"/>
  <c r="C608" i="1"/>
  <c r="A609" i="1"/>
  <c r="B609" i="1"/>
  <c r="C609" i="1"/>
  <c r="A610" i="1"/>
  <c r="B610" i="1"/>
  <c r="C610" i="1"/>
  <c r="A611" i="1"/>
  <c r="B611" i="1"/>
  <c r="C611" i="1"/>
  <c r="A612" i="1"/>
  <c r="B612" i="1"/>
  <c r="C612" i="1"/>
  <c r="A613" i="1"/>
  <c r="B613" i="1"/>
  <c r="C613" i="1"/>
  <c r="A614" i="1"/>
  <c r="B614" i="1"/>
  <c r="C614" i="1"/>
  <c r="A615" i="1"/>
  <c r="B615" i="1"/>
  <c r="C615" i="1"/>
  <c r="A616" i="1"/>
  <c r="B616" i="1"/>
  <c r="C616" i="1"/>
  <c r="A617" i="1"/>
  <c r="B617" i="1"/>
  <c r="C617" i="1"/>
  <c r="A618" i="1"/>
  <c r="B618" i="1"/>
  <c r="C618" i="1"/>
  <c r="A619" i="1"/>
  <c r="B619" i="1"/>
  <c r="C619" i="1"/>
  <c r="A620" i="1"/>
  <c r="B620" i="1"/>
  <c r="C620" i="1"/>
  <c r="A621" i="1"/>
  <c r="B621" i="1"/>
  <c r="C621" i="1"/>
  <c r="A622" i="1"/>
  <c r="B622" i="1"/>
  <c r="C622" i="1"/>
  <c r="A623" i="1"/>
  <c r="B623" i="1"/>
  <c r="C623" i="1"/>
  <c r="A624" i="1"/>
  <c r="B624" i="1"/>
  <c r="C624" i="1"/>
  <c r="A625" i="1"/>
  <c r="B625" i="1"/>
  <c r="C625" i="1"/>
  <c r="A626" i="1"/>
  <c r="B626" i="1"/>
  <c r="C626" i="1"/>
  <c r="A627" i="1"/>
  <c r="B627" i="1"/>
  <c r="C627" i="1"/>
  <c r="A628" i="1"/>
  <c r="B628" i="1"/>
  <c r="C628" i="1"/>
  <c r="A629" i="1"/>
  <c r="B629" i="1"/>
  <c r="C629" i="1"/>
  <c r="A630" i="1"/>
  <c r="B630" i="1"/>
  <c r="C630" i="1"/>
  <c r="A631" i="1"/>
  <c r="B631" i="1"/>
  <c r="C631" i="1"/>
  <c r="A632" i="1"/>
  <c r="B632" i="1"/>
  <c r="C632" i="1"/>
  <c r="A633" i="1"/>
  <c r="B633" i="1"/>
  <c r="C633" i="1"/>
  <c r="A634" i="1"/>
  <c r="B634" i="1"/>
  <c r="C634" i="1"/>
  <c r="A635" i="1"/>
  <c r="B635" i="1"/>
  <c r="C635" i="1"/>
  <c r="A636" i="1"/>
  <c r="B636" i="1"/>
  <c r="C636" i="1"/>
  <c r="A637" i="1"/>
  <c r="B637" i="1"/>
  <c r="C637" i="1"/>
  <c r="A638" i="1"/>
  <c r="B638" i="1"/>
  <c r="C638" i="1"/>
  <c r="A639" i="1"/>
  <c r="B639" i="1"/>
  <c r="C639" i="1"/>
  <c r="A640" i="1"/>
  <c r="B640" i="1"/>
  <c r="C640" i="1"/>
  <c r="A641" i="1"/>
  <c r="B641" i="1"/>
  <c r="C641" i="1"/>
  <c r="A642" i="1"/>
  <c r="B642" i="1"/>
  <c r="C642" i="1"/>
  <c r="A643" i="1"/>
  <c r="B643" i="1"/>
  <c r="C643" i="1"/>
  <c r="A644" i="1"/>
  <c r="B644" i="1"/>
  <c r="C644" i="1"/>
  <c r="A645" i="1"/>
  <c r="B645" i="1"/>
  <c r="C645" i="1"/>
  <c r="A646" i="1"/>
  <c r="B646" i="1"/>
  <c r="C646" i="1"/>
  <c r="A647" i="1"/>
  <c r="B647" i="1"/>
  <c r="C647" i="1"/>
  <c r="A648" i="1"/>
  <c r="B648" i="1"/>
  <c r="C648" i="1"/>
  <c r="A649" i="1"/>
  <c r="B649" i="1"/>
  <c r="C649" i="1"/>
  <c r="A650" i="1"/>
  <c r="B650" i="1"/>
  <c r="C650" i="1"/>
  <c r="A651" i="1"/>
  <c r="B651" i="1"/>
  <c r="C651" i="1"/>
  <c r="A652" i="1"/>
  <c r="B652" i="1"/>
  <c r="C652" i="1"/>
  <c r="A653" i="1"/>
  <c r="B653" i="1"/>
  <c r="C653" i="1"/>
  <c r="A654" i="1"/>
  <c r="B654" i="1"/>
  <c r="C654" i="1"/>
  <c r="A655" i="1"/>
  <c r="B655" i="1"/>
  <c r="C655" i="1"/>
  <c r="A656" i="1"/>
  <c r="B656" i="1"/>
  <c r="C656" i="1"/>
  <c r="A657" i="1"/>
  <c r="B657" i="1"/>
  <c r="C657" i="1"/>
  <c r="A658" i="1"/>
  <c r="B658" i="1"/>
  <c r="C658" i="1"/>
  <c r="A659" i="1"/>
  <c r="B659" i="1"/>
  <c r="C659" i="1"/>
  <c r="A660" i="1"/>
  <c r="B660" i="1"/>
  <c r="C660" i="1"/>
  <c r="A661" i="1"/>
  <c r="B661" i="1"/>
  <c r="C661" i="1"/>
  <c r="A662" i="1"/>
  <c r="B662" i="1"/>
  <c r="C662" i="1"/>
  <c r="A663" i="1"/>
  <c r="B663" i="1"/>
  <c r="C663" i="1"/>
  <c r="A664" i="1"/>
  <c r="B664" i="1"/>
  <c r="C664" i="1"/>
  <c r="A665" i="1"/>
  <c r="B665" i="1"/>
  <c r="C665" i="1"/>
  <c r="A666" i="1"/>
  <c r="B666" i="1"/>
  <c r="C666" i="1"/>
  <c r="A667" i="1"/>
  <c r="B667" i="1"/>
  <c r="C667" i="1"/>
  <c r="A668" i="1"/>
  <c r="B668" i="1"/>
  <c r="C668" i="1"/>
  <c r="A669" i="1"/>
  <c r="B669" i="1"/>
  <c r="C669" i="1"/>
  <c r="A670" i="1"/>
  <c r="B670" i="1"/>
  <c r="C670" i="1"/>
  <c r="A671" i="1"/>
  <c r="B671" i="1"/>
  <c r="C671" i="1"/>
  <c r="A672" i="1"/>
  <c r="B672" i="1"/>
  <c r="C672" i="1"/>
  <c r="A673" i="1"/>
  <c r="B673" i="1"/>
  <c r="C673" i="1"/>
  <c r="A674" i="1"/>
  <c r="B674" i="1"/>
  <c r="C674" i="1"/>
  <c r="A675" i="1"/>
  <c r="B675" i="1"/>
  <c r="C675" i="1"/>
  <c r="A676" i="1"/>
  <c r="B676" i="1"/>
  <c r="C676" i="1"/>
  <c r="A677" i="1"/>
  <c r="B677" i="1"/>
  <c r="C677" i="1"/>
  <c r="A678" i="1"/>
  <c r="B678" i="1"/>
  <c r="C678" i="1"/>
  <c r="A679" i="1"/>
  <c r="B679" i="1"/>
  <c r="C679" i="1"/>
  <c r="A680" i="1"/>
  <c r="B680" i="1"/>
  <c r="C680" i="1"/>
  <c r="A681" i="1"/>
  <c r="B681" i="1"/>
  <c r="C681" i="1"/>
  <c r="A682" i="1"/>
  <c r="B682" i="1"/>
  <c r="C682" i="1"/>
  <c r="A683" i="1"/>
  <c r="B683" i="1"/>
  <c r="C683" i="1"/>
  <c r="A684" i="1"/>
  <c r="B684" i="1"/>
  <c r="C684" i="1"/>
  <c r="A685" i="1"/>
  <c r="B685" i="1"/>
  <c r="C685" i="1"/>
  <c r="A686" i="1"/>
  <c r="B686" i="1"/>
  <c r="C686" i="1"/>
  <c r="A687" i="1"/>
  <c r="B687" i="1"/>
  <c r="C687" i="1"/>
  <c r="A688" i="1"/>
  <c r="B688" i="1"/>
  <c r="C688" i="1"/>
  <c r="A689" i="1"/>
  <c r="B689" i="1"/>
  <c r="C689" i="1"/>
  <c r="A690" i="1"/>
  <c r="B690" i="1"/>
  <c r="C690" i="1"/>
  <c r="A691" i="1"/>
  <c r="B691" i="1"/>
  <c r="C691" i="1"/>
  <c r="A692" i="1"/>
  <c r="B692" i="1"/>
  <c r="C692" i="1"/>
  <c r="A693" i="1"/>
  <c r="B693" i="1"/>
  <c r="C693" i="1"/>
  <c r="A694" i="1"/>
  <c r="B694" i="1"/>
  <c r="C694" i="1"/>
  <c r="A695" i="1"/>
  <c r="B695" i="1"/>
  <c r="C695" i="1"/>
  <c r="A696" i="1"/>
  <c r="B696" i="1"/>
  <c r="C696" i="1"/>
  <c r="A697" i="1"/>
  <c r="B697" i="1"/>
  <c r="C697" i="1"/>
  <c r="A698" i="1"/>
  <c r="B698" i="1"/>
  <c r="C698" i="1"/>
  <c r="A699" i="1"/>
  <c r="B699" i="1"/>
  <c r="C699" i="1"/>
  <c r="A700" i="1"/>
  <c r="B700" i="1"/>
  <c r="C700" i="1"/>
  <c r="A701" i="1"/>
  <c r="B701" i="1"/>
  <c r="C701" i="1"/>
  <c r="A702" i="1"/>
  <c r="B702" i="1"/>
  <c r="C702" i="1"/>
  <c r="A703" i="1"/>
  <c r="B703" i="1"/>
  <c r="C703" i="1"/>
  <c r="A704" i="1"/>
  <c r="B704" i="1"/>
  <c r="C704" i="1"/>
  <c r="A705" i="1"/>
  <c r="B705" i="1"/>
  <c r="C705" i="1"/>
  <c r="A706" i="1"/>
  <c r="B706" i="1"/>
  <c r="C706" i="1"/>
  <c r="A707" i="1"/>
  <c r="B707" i="1"/>
  <c r="C707" i="1"/>
  <c r="A708" i="1"/>
  <c r="B708" i="1"/>
  <c r="C708" i="1"/>
  <c r="A709" i="1"/>
  <c r="B709" i="1"/>
  <c r="C709" i="1"/>
  <c r="A710" i="1"/>
  <c r="B710" i="1"/>
  <c r="C710" i="1"/>
  <c r="A711" i="1"/>
  <c r="B711" i="1"/>
  <c r="C711" i="1"/>
  <c r="A712" i="1"/>
  <c r="B712" i="1"/>
  <c r="C712" i="1"/>
  <c r="A713" i="1"/>
  <c r="B713" i="1"/>
  <c r="C713" i="1"/>
  <c r="A714" i="1"/>
  <c r="B714" i="1"/>
  <c r="C714" i="1"/>
  <c r="A715" i="1"/>
  <c r="B715" i="1"/>
  <c r="C715" i="1"/>
  <c r="A716" i="1"/>
  <c r="B716" i="1"/>
  <c r="C716" i="1"/>
  <c r="A717" i="1"/>
  <c r="B717" i="1"/>
  <c r="C717" i="1"/>
  <c r="A718" i="1"/>
  <c r="B718" i="1"/>
  <c r="C718" i="1"/>
  <c r="A719" i="1"/>
  <c r="B719" i="1"/>
  <c r="C719" i="1"/>
  <c r="A720" i="1"/>
  <c r="B720" i="1"/>
  <c r="C720" i="1"/>
  <c r="A721" i="1"/>
  <c r="B721" i="1"/>
  <c r="C721" i="1"/>
  <c r="A722" i="1"/>
  <c r="B722" i="1"/>
  <c r="C722" i="1"/>
  <c r="A723" i="1"/>
  <c r="B723" i="1"/>
  <c r="C723" i="1"/>
  <c r="A724" i="1"/>
  <c r="B724" i="1"/>
  <c r="C724" i="1"/>
  <c r="A725" i="1"/>
  <c r="B725" i="1"/>
  <c r="C725" i="1"/>
  <c r="A726" i="1"/>
  <c r="B726" i="1"/>
  <c r="C726" i="1"/>
  <c r="A727" i="1"/>
  <c r="B727" i="1"/>
  <c r="C727" i="1"/>
  <c r="A728" i="1"/>
  <c r="B728" i="1"/>
  <c r="C728" i="1"/>
  <c r="A729" i="1"/>
  <c r="B729" i="1"/>
  <c r="C729" i="1"/>
  <c r="A730" i="1"/>
  <c r="B730" i="1"/>
  <c r="C730" i="1"/>
  <c r="A731" i="1"/>
  <c r="B731" i="1"/>
  <c r="C731" i="1"/>
  <c r="A732" i="1"/>
  <c r="B732" i="1"/>
  <c r="C732" i="1"/>
  <c r="A733" i="1"/>
  <c r="B733" i="1"/>
  <c r="C733" i="1"/>
  <c r="A734" i="1"/>
  <c r="B734" i="1"/>
  <c r="C734" i="1"/>
  <c r="A735" i="1"/>
  <c r="B735" i="1"/>
  <c r="C735" i="1"/>
  <c r="A736" i="1"/>
  <c r="B736" i="1"/>
  <c r="C736" i="1"/>
  <c r="A737" i="1"/>
  <c r="B737" i="1"/>
  <c r="C737" i="1"/>
  <c r="A738" i="1"/>
  <c r="B738" i="1"/>
  <c r="C738" i="1"/>
  <c r="A739" i="1"/>
  <c r="B739" i="1"/>
  <c r="C739" i="1"/>
  <c r="A740" i="1"/>
  <c r="B740" i="1"/>
  <c r="C740" i="1"/>
  <c r="A741" i="1"/>
  <c r="B741" i="1"/>
  <c r="C741" i="1"/>
  <c r="A742" i="1"/>
  <c r="B742" i="1"/>
  <c r="C742" i="1"/>
  <c r="A743" i="1"/>
  <c r="B743" i="1"/>
  <c r="C743" i="1"/>
  <c r="A744" i="1"/>
  <c r="B744" i="1"/>
  <c r="C744" i="1"/>
  <c r="A745" i="1"/>
  <c r="B745" i="1"/>
  <c r="C745" i="1"/>
  <c r="A746" i="1"/>
  <c r="B746" i="1"/>
  <c r="C746" i="1"/>
  <c r="A747" i="1"/>
  <c r="B747" i="1"/>
  <c r="C747" i="1"/>
  <c r="A748" i="1"/>
  <c r="B748" i="1"/>
  <c r="C748" i="1"/>
  <c r="A749" i="1"/>
  <c r="B749" i="1"/>
  <c r="C749" i="1"/>
  <c r="A750" i="1"/>
  <c r="B750" i="1"/>
  <c r="C750" i="1"/>
  <c r="A751" i="1"/>
  <c r="B751" i="1"/>
  <c r="C751" i="1"/>
  <c r="A752" i="1"/>
  <c r="B752" i="1"/>
  <c r="C752" i="1"/>
  <c r="A753" i="1"/>
  <c r="B753" i="1"/>
  <c r="C753" i="1"/>
  <c r="A754" i="1"/>
  <c r="B754" i="1"/>
  <c r="C754" i="1"/>
  <c r="A755" i="1"/>
  <c r="B755" i="1"/>
  <c r="C755" i="1"/>
  <c r="A756" i="1"/>
  <c r="B756" i="1"/>
  <c r="C756" i="1"/>
  <c r="A757" i="1"/>
  <c r="B757" i="1"/>
  <c r="C757" i="1"/>
  <c r="A758" i="1"/>
  <c r="B758" i="1"/>
  <c r="C758" i="1"/>
  <c r="A759" i="1"/>
  <c r="B759" i="1"/>
  <c r="C759" i="1"/>
  <c r="A760" i="1"/>
  <c r="B760" i="1"/>
  <c r="C760" i="1"/>
  <c r="A761" i="1"/>
  <c r="B761" i="1"/>
  <c r="C761" i="1"/>
  <c r="A762" i="1"/>
  <c r="B762" i="1"/>
  <c r="C762" i="1"/>
  <c r="A763" i="1"/>
  <c r="B763" i="1"/>
  <c r="C763" i="1"/>
  <c r="A764" i="1"/>
  <c r="B764" i="1"/>
  <c r="C764" i="1"/>
  <c r="A765" i="1"/>
  <c r="B765" i="1"/>
  <c r="C765" i="1"/>
  <c r="A766" i="1"/>
  <c r="B766" i="1"/>
  <c r="C766" i="1"/>
  <c r="A767" i="1"/>
  <c r="B767" i="1"/>
  <c r="C767" i="1"/>
  <c r="A768" i="1"/>
  <c r="B768" i="1"/>
  <c r="C768" i="1"/>
  <c r="A769" i="1"/>
  <c r="B769" i="1"/>
  <c r="C769" i="1"/>
  <c r="A770" i="1"/>
  <c r="B770" i="1"/>
  <c r="C770" i="1"/>
  <c r="A771" i="1"/>
  <c r="B771" i="1"/>
  <c r="C771" i="1"/>
  <c r="A772" i="1"/>
  <c r="B772" i="1"/>
  <c r="C772" i="1"/>
  <c r="A773" i="1"/>
  <c r="B773" i="1"/>
  <c r="C773" i="1"/>
  <c r="A774" i="1"/>
  <c r="B774" i="1"/>
  <c r="C774" i="1"/>
  <c r="A775" i="1"/>
  <c r="B775" i="1"/>
  <c r="C775" i="1"/>
  <c r="A776" i="1"/>
  <c r="B776" i="1"/>
  <c r="C776" i="1"/>
  <c r="A777" i="1"/>
  <c r="B777" i="1"/>
  <c r="C777" i="1"/>
  <c r="A778" i="1"/>
  <c r="B778" i="1"/>
  <c r="C778" i="1"/>
  <c r="A779" i="1"/>
  <c r="B779" i="1"/>
  <c r="C779" i="1"/>
  <c r="A780" i="1"/>
  <c r="B780" i="1"/>
  <c r="C780" i="1"/>
  <c r="A781" i="1"/>
  <c r="B781" i="1"/>
  <c r="C781" i="1"/>
  <c r="A782" i="1"/>
  <c r="B782" i="1"/>
  <c r="C782" i="1"/>
  <c r="A783" i="1"/>
  <c r="B783" i="1"/>
  <c r="C783" i="1"/>
  <c r="A784" i="1"/>
  <c r="B784" i="1"/>
  <c r="C784" i="1"/>
  <c r="A785" i="1"/>
  <c r="B785" i="1"/>
  <c r="C785" i="1"/>
  <c r="A786" i="1"/>
  <c r="B786" i="1"/>
  <c r="C786" i="1"/>
  <c r="A787" i="1"/>
  <c r="B787" i="1"/>
  <c r="C787" i="1"/>
  <c r="A788" i="1"/>
  <c r="B788" i="1"/>
  <c r="C788" i="1"/>
  <c r="A789" i="1"/>
  <c r="B789" i="1"/>
  <c r="C789" i="1"/>
  <c r="A790" i="1"/>
  <c r="B790" i="1"/>
  <c r="C790" i="1"/>
  <c r="A791" i="1"/>
  <c r="B791" i="1"/>
  <c r="C791" i="1"/>
  <c r="A792" i="1"/>
  <c r="B792" i="1"/>
  <c r="C792" i="1"/>
  <c r="A793" i="1"/>
  <c r="B793" i="1"/>
  <c r="C793" i="1"/>
  <c r="A794" i="1"/>
  <c r="B794" i="1"/>
  <c r="C794" i="1"/>
  <c r="A795" i="1"/>
  <c r="B795" i="1"/>
  <c r="C795" i="1"/>
  <c r="A796" i="1"/>
  <c r="B796" i="1"/>
  <c r="C796" i="1"/>
  <c r="A797" i="1"/>
  <c r="B797" i="1"/>
  <c r="C797" i="1"/>
  <c r="A798" i="1"/>
  <c r="B798" i="1"/>
  <c r="C798" i="1"/>
  <c r="A799" i="1"/>
  <c r="B799" i="1"/>
  <c r="C799" i="1"/>
  <c r="A800" i="1"/>
  <c r="B800" i="1"/>
  <c r="C800" i="1"/>
  <c r="A801" i="1"/>
  <c r="B801" i="1"/>
  <c r="C801" i="1"/>
  <c r="A802" i="1"/>
  <c r="B802" i="1"/>
  <c r="C802" i="1"/>
  <c r="A803" i="1"/>
  <c r="B803" i="1"/>
  <c r="C803" i="1"/>
  <c r="A804" i="1"/>
  <c r="B804" i="1"/>
  <c r="C804" i="1"/>
  <c r="A805" i="1"/>
  <c r="B805" i="1"/>
  <c r="C805" i="1"/>
  <c r="A806" i="1"/>
  <c r="B806" i="1"/>
  <c r="C806" i="1"/>
  <c r="A807" i="1"/>
  <c r="B807" i="1"/>
  <c r="C807" i="1"/>
  <c r="A808" i="1"/>
  <c r="B808" i="1"/>
  <c r="C808" i="1"/>
  <c r="A809" i="1"/>
  <c r="B809" i="1"/>
  <c r="C809" i="1"/>
  <c r="A810" i="1"/>
  <c r="B810" i="1"/>
  <c r="C810" i="1"/>
  <c r="A811" i="1"/>
  <c r="B811" i="1"/>
  <c r="C811" i="1"/>
  <c r="A812" i="1"/>
  <c r="B812" i="1"/>
  <c r="C812" i="1"/>
  <c r="A813" i="1"/>
  <c r="B813" i="1"/>
  <c r="C813" i="1"/>
  <c r="A814" i="1"/>
  <c r="B814" i="1"/>
  <c r="C814" i="1"/>
  <c r="A815" i="1"/>
  <c r="B815" i="1"/>
  <c r="C815" i="1"/>
  <c r="A816" i="1"/>
  <c r="B816" i="1"/>
  <c r="C816" i="1"/>
  <c r="A817" i="1"/>
  <c r="B817" i="1"/>
  <c r="C817" i="1"/>
  <c r="A818" i="1"/>
  <c r="B818" i="1"/>
  <c r="C818" i="1"/>
  <c r="A819" i="1"/>
  <c r="B819" i="1"/>
  <c r="C819" i="1"/>
  <c r="A820" i="1"/>
  <c r="B820" i="1"/>
  <c r="C820" i="1"/>
  <c r="A821" i="1"/>
  <c r="B821" i="1"/>
  <c r="C821" i="1"/>
  <c r="A822" i="1"/>
  <c r="B822" i="1"/>
  <c r="C822" i="1"/>
  <c r="A823" i="1"/>
  <c r="B823" i="1"/>
  <c r="C823" i="1"/>
  <c r="A824" i="1"/>
  <c r="B824" i="1"/>
  <c r="C824" i="1"/>
  <c r="A825" i="1"/>
  <c r="B825" i="1"/>
  <c r="C825" i="1"/>
  <c r="A826" i="1"/>
  <c r="B826" i="1"/>
  <c r="C826" i="1"/>
  <c r="A827" i="1"/>
  <c r="B827" i="1"/>
  <c r="C827" i="1"/>
  <c r="A828" i="1"/>
  <c r="B828" i="1"/>
  <c r="C828" i="1"/>
  <c r="A829" i="1"/>
  <c r="B829" i="1"/>
  <c r="C829" i="1"/>
  <c r="A830" i="1"/>
  <c r="B830" i="1"/>
  <c r="C830" i="1"/>
  <c r="A831" i="1"/>
  <c r="B831" i="1"/>
  <c r="C831" i="1"/>
  <c r="A832" i="1"/>
  <c r="B832" i="1"/>
  <c r="C832" i="1"/>
  <c r="A833" i="1"/>
  <c r="B833" i="1"/>
  <c r="C833" i="1"/>
  <c r="A834" i="1"/>
  <c r="B834" i="1"/>
  <c r="C834" i="1"/>
  <c r="A835" i="1"/>
  <c r="B835" i="1"/>
  <c r="C835" i="1"/>
  <c r="A836" i="1"/>
  <c r="B836" i="1"/>
  <c r="C836" i="1"/>
  <c r="A837" i="1"/>
  <c r="B837" i="1"/>
  <c r="C837" i="1"/>
  <c r="A838" i="1"/>
  <c r="B838" i="1"/>
  <c r="C838" i="1"/>
  <c r="A839" i="1"/>
  <c r="B839" i="1"/>
  <c r="C839" i="1"/>
  <c r="A840" i="1"/>
  <c r="B840" i="1"/>
  <c r="C840" i="1"/>
  <c r="A841" i="1"/>
  <c r="B841" i="1"/>
  <c r="C841" i="1"/>
  <c r="A842" i="1"/>
  <c r="B842" i="1"/>
  <c r="C842" i="1"/>
  <c r="A843" i="1"/>
  <c r="B843" i="1"/>
  <c r="C843" i="1"/>
  <c r="A844" i="1"/>
  <c r="B844" i="1"/>
  <c r="C844" i="1"/>
  <c r="A845" i="1"/>
  <c r="B845" i="1"/>
  <c r="C845" i="1"/>
  <c r="A846" i="1"/>
  <c r="B846" i="1"/>
  <c r="C846" i="1"/>
  <c r="A847" i="1"/>
  <c r="B847" i="1"/>
  <c r="C847" i="1"/>
  <c r="A848" i="1"/>
  <c r="B848" i="1"/>
  <c r="C848" i="1"/>
  <c r="A849" i="1"/>
  <c r="B849" i="1"/>
  <c r="C849" i="1"/>
  <c r="A850" i="1"/>
  <c r="B850" i="1"/>
  <c r="C850" i="1"/>
  <c r="A851" i="1"/>
  <c r="B851" i="1"/>
  <c r="C851" i="1"/>
  <c r="A852" i="1"/>
  <c r="B852" i="1"/>
  <c r="C852" i="1"/>
  <c r="A853" i="1"/>
  <c r="B853" i="1"/>
  <c r="C853" i="1"/>
  <c r="A854" i="1"/>
  <c r="B854" i="1"/>
  <c r="C854" i="1"/>
  <c r="A855" i="1"/>
  <c r="B855" i="1"/>
  <c r="C855" i="1"/>
  <c r="A856" i="1"/>
  <c r="B856" i="1"/>
  <c r="C856" i="1"/>
  <c r="A857" i="1"/>
  <c r="B857" i="1"/>
  <c r="C857" i="1"/>
  <c r="A858" i="1"/>
  <c r="B858" i="1"/>
  <c r="C858" i="1"/>
  <c r="A859" i="1"/>
  <c r="B859" i="1"/>
  <c r="C859" i="1"/>
  <c r="A860" i="1"/>
  <c r="B860" i="1"/>
  <c r="C860" i="1"/>
  <c r="A861" i="1"/>
  <c r="B861" i="1"/>
  <c r="C861" i="1"/>
  <c r="A862" i="1"/>
  <c r="B862" i="1"/>
  <c r="C862" i="1"/>
  <c r="A863" i="1"/>
  <c r="B863" i="1"/>
  <c r="C863" i="1"/>
  <c r="A864" i="1"/>
  <c r="B864" i="1"/>
  <c r="C864" i="1"/>
  <c r="A865" i="1"/>
  <c r="B865" i="1"/>
  <c r="C865" i="1"/>
  <c r="A866" i="1"/>
  <c r="B866" i="1"/>
  <c r="C866" i="1"/>
  <c r="A867" i="1"/>
  <c r="B867" i="1"/>
  <c r="C867" i="1"/>
  <c r="A868" i="1"/>
  <c r="B868" i="1"/>
  <c r="C868" i="1"/>
  <c r="A869" i="1"/>
  <c r="B869" i="1"/>
  <c r="C869" i="1"/>
  <c r="A870" i="1"/>
  <c r="B870" i="1"/>
  <c r="C870" i="1"/>
  <c r="A871" i="1"/>
  <c r="B871" i="1"/>
  <c r="C871" i="1"/>
  <c r="A872" i="1"/>
  <c r="B872" i="1"/>
  <c r="C872" i="1"/>
  <c r="A873" i="1"/>
  <c r="B873" i="1"/>
  <c r="C873" i="1"/>
  <c r="A874" i="1"/>
  <c r="B874" i="1"/>
  <c r="C874" i="1"/>
  <c r="A875" i="1"/>
  <c r="B875" i="1"/>
  <c r="C875" i="1"/>
  <c r="A876" i="1"/>
  <c r="B876" i="1"/>
  <c r="C876" i="1"/>
  <c r="A877" i="1"/>
  <c r="B877" i="1"/>
  <c r="C877" i="1"/>
  <c r="A878" i="1"/>
  <c r="B878" i="1"/>
  <c r="C878" i="1"/>
  <c r="A879" i="1"/>
  <c r="B879" i="1"/>
  <c r="C879" i="1"/>
  <c r="A880" i="1"/>
  <c r="B880" i="1"/>
  <c r="C880" i="1"/>
  <c r="A881" i="1"/>
  <c r="B881" i="1"/>
  <c r="C881" i="1"/>
  <c r="A882" i="1"/>
  <c r="B882" i="1"/>
  <c r="C882" i="1"/>
  <c r="A883" i="1"/>
  <c r="B883" i="1"/>
  <c r="C883" i="1"/>
  <c r="A884" i="1"/>
  <c r="B884" i="1"/>
  <c r="C884" i="1"/>
  <c r="A885" i="1"/>
  <c r="B885" i="1"/>
  <c r="C885" i="1"/>
  <c r="A886" i="1"/>
  <c r="B886" i="1"/>
  <c r="C886" i="1"/>
  <c r="A887" i="1"/>
  <c r="B887" i="1"/>
  <c r="C887" i="1"/>
  <c r="A888" i="1"/>
  <c r="B888" i="1"/>
  <c r="C888" i="1"/>
  <c r="A889" i="1"/>
  <c r="B889" i="1"/>
  <c r="C889" i="1"/>
  <c r="A890" i="1"/>
  <c r="B890" i="1"/>
  <c r="C890" i="1"/>
  <c r="A891" i="1"/>
  <c r="B891" i="1"/>
  <c r="C891" i="1"/>
  <c r="A892" i="1"/>
  <c r="B892" i="1"/>
  <c r="C892" i="1"/>
  <c r="A893" i="1"/>
  <c r="B893" i="1"/>
  <c r="C893" i="1"/>
  <c r="A894" i="1"/>
  <c r="B894" i="1"/>
  <c r="C894" i="1"/>
  <c r="A895" i="1"/>
  <c r="B895" i="1"/>
  <c r="C895" i="1"/>
  <c r="A896" i="1"/>
  <c r="B896" i="1"/>
  <c r="C896" i="1"/>
  <c r="A897" i="1"/>
  <c r="B897" i="1"/>
  <c r="C897" i="1"/>
  <c r="A898" i="1"/>
  <c r="B898" i="1"/>
  <c r="C898" i="1"/>
  <c r="A899" i="1"/>
  <c r="B899" i="1"/>
  <c r="C899" i="1"/>
  <c r="A900" i="1"/>
  <c r="B900" i="1"/>
  <c r="C900" i="1"/>
  <c r="A901" i="1"/>
  <c r="B901" i="1"/>
  <c r="C901" i="1"/>
  <c r="A902" i="1"/>
  <c r="B902" i="1"/>
  <c r="C902" i="1"/>
  <c r="A903" i="1"/>
  <c r="B903" i="1"/>
  <c r="C903" i="1"/>
  <c r="A904" i="1"/>
  <c r="B904" i="1"/>
  <c r="C904" i="1"/>
  <c r="A905" i="1"/>
  <c r="B905" i="1"/>
  <c r="C905" i="1"/>
  <c r="A906" i="1"/>
  <c r="B906" i="1"/>
  <c r="C906" i="1"/>
  <c r="A907" i="1"/>
  <c r="B907" i="1"/>
  <c r="C907" i="1"/>
  <c r="A908" i="1"/>
  <c r="B908" i="1"/>
  <c r="C908" i="1"/>
  <c r="A909" i="1"/>
  <c r="B909" i="1"/>
  <c r="C909" i="1"/>
  <c r="A910" i="1"/>
  <c r="B910" i="1"/>
  <c r="C910" i="1"/>
  <c r="A911" i="1"/>
  <c r="B911" i="1"/>
  <c r="C911" i="1"/>
  <c r="A912" i="1"/>
  <c r="B912" i="1"/>
  <c r="C912" i="1"/>
  <c r="A913" i="1"/>
  <c r="B913" i="1"/>
  <c r="C913" i="1"/>
  <c r="A914" i="1"/>
  <c r="B914" i="1"/>
  <c r="C914" i="1"/>
  <c r="A915" i="1"/>
  <c r="B915" i="1"/>
  <c r="C915" i="1"/>
  <c r="A916" i="1"/>
  <c r="B916" i="1"/>
  <c r="C916" i="1"/>
  <c r="A917" i="1"/>
  <c r="B917" i="1"/>
  <c r="C917" i="1"/>
  <c r="A918" i="1"/>
  <c r="B918" i="1"/>
  <c r="C918" i="1"/>
  <c r="A919" i="1"/>
  <c r="B919" i="1"/>
  <c r="C919" i="1"/>
  <c r="A920" i="1"/>
  <c r="B920" i="1"/>
  <c r="C920" i="1"/>
  <c r="A921" i="1"/>
  <c r="B921" i="1"/>
  <c r="C921" i="1"/>
  <c r="A922" i="1"/>
  <c r="B922" i="1"/>
  <c r="C922" i="1"/>
  <c r="A923" i="1"/>
  <c r="B923" i="1"/>
  <c r="C923" i="1"/>
  <c r="A924" i="1"/>
  <c r="B924" i="1"/>
  <c r="C924" i="1"/>
  <c r="A925" i="1"/>
  <c r="B925" i="1"/>
  <c r="C925" i="1"/>
  <c r="A926" i="1"/>
  <c r="B926" i="1"/>
  <c r="C926" i="1"/>
  <c r="A927" i="1"/>
  <c r="B927" i="1"/>
  <c r="C927" i="1"/>
  <c r="A928" i="1"/>
  <c r="B928" i="1"/>
  <c r="C928" i="1"/>
  <c r="A929" i="1"/>
  <c r="B929" i="1"/>
  <c r="C929" i="1"/>
  <c r="A930" i="1"/>
  <c r="B930" i="1"/>
  <c r="C930" i="1"/>
  <c r="A931" i="1"/>
  <c r="B931" i="1"/>
  <c r="C931" i="1"/>
  <c r="A932" i="1"/>
  <c r="B932" i="1"/>
  <c r="C932" i="1"/>
  <c r="A933" i="1"/>
  <c r="B933" i="1"/>
  <c r="C933" i="1"/>
  <c r="A934" i="1"/>
  <c r="B934" i="1"/>
  <c r="C934" i="1"/>
  <c r="A935" i="1"/>
  <c r="B935" i="1"/>
  <c r="C935" i="1"/>
  <c r="A936" i="1"/>
  <c r="B936" i="1"/>
  <c r="C936" i="1"/>
  <c r="A937" i="1"/>
  <c r="B937" i="1"/>
  <c r="C937" i="1"/>
  <c r="A938" i="1"/>
  <c r="B938" i="1"/>
  <c r="C938" i="1"/>
  <c r="A939" i="1"/>
  <c r="B939" i="1"/>
  <c r="C939" i="1"/>
  <c r="A940" i="1"/>
  <c r="B940" i="1"/>
  <c r="C940" i="1"/>
  <c r="A941" i="1"/>
  <c r="B941" i="1"/>
  <c r="C941" i="1"/>
  <c r="A942" i="1"/>
  <c r="B942" i="1"/>
  <c r="C942" i="1"/>
  <c r="A943" i="1"/>
  <c r="B943" i="1"/>
  <c r="C943" i="1"/>
  <c r="A944" i="1"/>
  <c r="B944" i="1"/>
  <c r="C944" i="1"/>
  <c r="A945" i="1"/>
  <c r="B945" i="1"/>
  <c r="C945" i="1"/>
  <c r="A946" i="1"/>
  <c r="B946" i="1"/>
  <c r="C946" i="1"/>
  <c r="A947" i="1"/>
  <c r="B947" i="1"/>
  <c r="C947" i="1"/>
  <c r="A948" i="1"/>
  <c r="B948" i="1"/>
  <c r="C948" i="1"/>
  <c r="A949" i="1"/>
  <c r="B949" i="1"/>
  <c r="C949" i="1"/>
  <c r="A950" i="1"/>
  <c r="B950" i="1"/>
  <c r="C950" i="1"/>
  <c r="A951" i="1"/>
  <c r="B951" i="1"/>
  <c r="C951" i="1"/>
  <c r="A952" i="1"/>
  <c r="B952" i="1"/>
  <c r="C952" i="1"/>
  <c r="A953" i="1"/>
  <c r="B953" i="1"/>
  <c r="C953" i="1"/>
  <c r="A954" i="1"/>
  <c r="B954" i="1"/>
  <c r="C954" i="1"/>
  <c r="A955" i="1"/>
  <c r="B955" i="1"/>
  <c r="C955" i="1"/>
  <c r="A956" i="1"/>
  <c r="B956" i="1"/>
  <c r="C956" i="1"/>
  <c r="A957" i="1"/>
  <c r="B957" i="1"/>
  <c r="C957" i="1"/>
  <c r="A958" i="1"/>
  <c r="B958" i="1"/>
  <c r="C958" i="1"/>
  <c r="A959" i="1"/>
  <c r="B959" i="1"/>
  <c r="C959" i="1"/>
  <c r="A960" i="1"/>
  <c r="B960" i="1"/>
  <c r="C960" i="1"/>
  <c r="A961" i="1"/>
  <c r="B961" i="1"/>
  <c r="C961" i="1"/>
  <c r="A962" i="1"/>
  <c r="B962" i="1"/>
  <c r="C962" i="1"/>
  <c r="A963" i="1"/>
  <c r="B963" i="1"/>
  <c r="C963" i="1"/>
  <c r="A964" i="1"/>
  <c r="B964" i="1"/>
  <c r="C964" i="1"/>
  <c r="A965" i="1"/>
  <c r="B965" i="1"/>
  <c r="C965" i="1"/>
  <c r="A966" i="1"/>
  <c r="B966" i="1"/>
  <c r="C966" i="1"/>
  <c r="A967" i="1"/>
  <c r="B967" i="1"/>
  <c r="C967" i="1"/>
  <c r="A968" i="1"/>
  <c r="B968" i="1"/>
  <c r="C968" i="1"/>
  <c r="A969" i="1"/>
  <c r="B969" i="1"/>
  <c r="C969" i="1"/>
  <c r="A970" i="1"/>
  <c r="B970" i="1"/>
  <c r="C970" i="1"/>
  <c r="A971" i="1"/>
  <c r="B971" i="1"/>
  <c r="C971" i="1"/>
  <c r="A972" i="1"/>
  <c r="B972" i="1"/>
  <c r="C972" i="1"/>
  <c r="A973" i="1"/>
  <c r="B973" i="1"/>
  <c r="C973" i="1"/>
  <c r="A974" i="1"/>
  <c r="B974" i="1"/>
  <c r="C974" i="1"/>
  <c r="A975" i="1"/>
  <c r="B975" i="1"/>
  <c r="C975" i="1"/>
  <c r="A976" i="1"/>
  <c r="B976" i="1"/>
  <c r="C976" i="1"/>
  <c r="A977" i="1"/>
  <c r="B977" i="1"/>
  <c r="C977" i="1"/>
  <c r="A978" i="1"/>
  <c r="B978" i="1"/>
  <c r="C978" i="1"/>
  <c r="A979" i="1"/>
  <c r="B979" i="1"/>
  <c r="C979" i="1"/>
  <c r="A980" i="1"/>
  <c r="B980" i="1"/>
  <c r="C980" i="1"/>
  <c r="A981" i="1"/>
  <c r="B981" i="1"/>
  <c r="C981" i="1"/>
  <c r="A982" i="1"/>
  <c r="B982" i="1"/>
  <c r="C982" i="1"/>
  <c r="A983" i="1"/>
  <c r="B983" i="1"/>
  <c r="C983" i="1"/>
  <c r="A984" i="1"/>
  <c r="B984" i="1"/>
  <c r="C984" i="1"/>
  <c r="A985" i="1"/>
  <c r="B985" i="1"/>
  <c r="C985" i="1"/>
  <c r="A986" i="1"/>
  <c r="B986" i="1"/>
  <c r="C986" i="1"/>
  <c r="A987" i="1"/>
  <c r="B987" i="1"/>
  <c r="C987" i="1"/>
  <c r="A988" i="1"/>
  <c r="B988" i="1"/>
  <c r="C988" i="1"/>
  <c r="A989" i="1"/>
  <c r="B989" i="1"/>
  <c r="C989" i="1"/>
  <c r="A990" i="1"/>
  <c r="B990" i="1"/>
  <c r="C990" i="1"/>
  <c r="A991" i="1"/>
  <c r="B991" i="1"/>
  <c r="C991" i="1"/>
  <c r="A992" i="1"/>
  <c r="B992" i="1"/>
  <c r="C992" i="1"/>
  <c r="A993" i="1"/>
  <c r="B993" i="1"/>
  <c r="C993" i="1"/>
  <c r="A994" i="1"/>
  <c r="B994" i="1"/>
  <c r="C994" i="1"/>
  <c r="A995" i="1"/>
  <c r="B995" i="1"/>
  <c r="C995" i="1"/>
  <c r="A996" i="1"/>
  <c r="B996" i="1"/>
  <c r="C996" i="1"/>
  <c r="A997" i="1"/>
  <c r="B997" i="1"/>
  <c r="C997" i="1"/>
  <c r="A998" i="1"/>
  <c r="B998" i="1"/>
  <c r="C998" i="1"/>
  <c r="A999" i="1"/>
  <c r="B999" i="1"/>
  <c r="C999" i="1"/>
  <c r="A1000" i="1"/>
  <c r="B1000" i="1"/>
  <c r="C1000" i="1"/>
  <c r="A1001" i="1"/>
  <c r="B1001" i="1"/>
  <c r="C1001" i="1"/>
  <c r="A1002" i="1"/>
  <c r="B1002" i="1"/>
  <c r="C1002" i="1"/>
  <c r="A1003" i="1"/>
  <c r="B1003" i="1"/>
  <c r="C1003" i="1"/>
  <c r="A1004" i="1"/>
  <c r="B1004" i="1"/>
  <c r="C1004" i="1"/>
  <c r="A1005" i="1"/>
  <c r="B1005" i="1"/>
  <c r="C1005" i="1"/>
  <c r="A1006" i="1"/>
  <c r="B1006" i="1"/>
  <c r="C1006" i="1"/>
  <c r="A1007" i="1"/>
  <c r="B1007" i="1"/>
  <c r="C1007" i="1"/>
  <c r="A1008" i="1"/>
  <c r="B1008" i="1"/>
  <c r="C1008" i="1"/>
  <c r="A1009" i="1"/>
  <c r="B1009" i="1"/>
  <c r="C1009" i="1"/>
  <c r="A1010" i="1"/>
  <c r="B1010" i="1"/>
  <c r="C1010" i="1"/>
  <c r="A1011" i="1"/>
  <c r="B1011" i="1"/>
  <c r="C1011" i="1"/>
  <c r="A1012" i="1"/>
  <c r="B1012" i="1"/>
  <c r="C1012" i="1"/>
  <c r="A1013" i="1"/>
  <c r="B1013" i="1"/>
  <c r="C1013" i="1"/>
  <c r="A1014" i="1"/>
  <c r="B1014" i="1"/>
  <c r="C1014" i="1"/>
  <c r="A1015" i="1"/>
  <c r="B1015" i="1"/>
  <c r="C1015" i="1"/>
  <c r="A1016" i="1"/>
  <c r="B1016" i="1"/>
  <c r="C1016" i="1"/>
  <c r="A1017" i="1"/>
  <c r="B1017" i="1"/>
  <c r="C1017" i="1"/>
  <c r="A1018" i="1"/>
  <c r="B1018" i="1"/>
  <c r="C1018" i="1"/>
  <c r="A1019" i="1"/>
  <c r="B1019" i="1"/>
  <c r="C1019" i="1"/>
  <c r="A1020" i="1"/>
  <c r="B1020" i="1"/>
  <c r="C1020" i="1"/>
  <c r="A1021" i="1"/>
  <c r="B1021" i="1"/>
  <c r="C1021" i="1"/>
  <c r="A1022" i="1"/>
  <c r="B1022" i="1"/>
  <c r="C1022" i="1"/>
  <c r="A1023" i="1"/>
  <c r="B1023" i="1"/>
  <c r="C1023" i="1"/>
  <c r="A1024" i="1"/>
  <c r="B1024" i="1"/>
  <c r="C1024" i="1"/>
  <c r="A1025" i="1"/>
  <c r="B1025" i="1"/>
  <c r="C1025" i="1"/>
  <c r="A1026" i="1"/>
  <c r="B1026" i="1"/>
  <c r="C1026" i="1"/>
  <c r="A1027" i="1"/>
  <c r="B1027" i="1"/>
  <c r="C1027" i="1"/>
  <c r="A1028" i="1"/>
  <c r="B1028" i="1"/>
  <c r="C1028" i="1"/>
  <c r="A1029" i="1"/>
  <c r="B1029" i="1"/>
  <c r="C1029" i="1"/>
  <c r="A1030" i="1"/>
  <c r="B1030" i="1"/>
  <c r="C1030" i="1"/>
  <c r="A1031" i="1"/>
  <c r="B1031" i="1"/>
  <c r="C1031" i="1"/>
  <c r="A1032" i="1"/>
  <c r="B1032" i="1"/>
  <c r="C1032" i="1"/>
  <c r="A1033" i="1"/>
  <c r="B1033" i="1"/>
  <c r="C1033" i="1"/>
  <c r="A1034" i="1"/>
  <c r="B1034" i="1"/>
  <c r="C1034" i="1"/>
  <c r="A1035" i="1"/>
  <c r="B1035" i="1"/>
  <c r="C1035" i="1"/>
  <c r="A1036" i="1"/>
  <c r="B1036" i="1"/>
  <c r="C1036" i="1"/>
  <c r="A1037" i="1"/>
  <c r="B1037" i="1"/>
  <c r="C1037" i="1"/>
  <c r="A1038" i="1"/>
  <c r="B1038" i="1"/>
  <c r="C1038" i="1"/>
  <c r="A1039" i="1"/>
  <c r="B1039" i="1"/>
  <c r="C1039" i="1"/>
  <c r="A1040" i="1"/>
  <c r="B1040" i="1"/>
  <c r="C1040" i="1"/>
  <c r="A1041" i="1"/>
  <c r="B1041" i="1"/>
  <c r="C1041" i="1"/>
  <c r="A1042" i="1"/>
  <c r="B1042" i="1"/>
  <c r="C1042" i="1"/>
  <c r="A1043" i="1"/>
  <c r="B1043" i="1"/>
  <c r="C1043" i="1"/>
  <c r="A1044" i="1"/>
  <c r="B1044" i="1"/>
  <c r="C1044" i="1"/>
  <c r="A1045" i="1"/>
  <c r="B1045" i="1"/>
  <c r="C1045" i="1"/>
  <c r="A1046" i="1"/>
  <c r="B1046" i="1"/>
  <c r="C1046" i="1"/>
  <c r="A1047" i="1"/>
  <c r="B1047" i="1"/>
  <c r="C1047" i="1"/>
  <c r="A1048" i="1"/>
  <c r="B1048" i="1"/>
  <c r="C1048" i="1"/>
  <c r="A1049" i="1"/>
  <c r="B1049" i="1"/>
  <c r="C1049" i="1"/>
  <c r="A1050" i="1"/>
  <c r="B1050" i="1"/>
  <c r="C1050" i="1"/>
  <c r="A1051" i="1"/>
  <c r="B1051" i="1"/>
  <c r="C1051" i="1"/>
  <c r="A1052" i="1"/>
  <c r="B1052" i="1"/>
  <c r="C1052" i="1"/>
  <c r="A1053" i="1"/>
  <c r="B1053" i="1"/>
  <c r="C1053" i="1"/>
  <c r="A1054" i="1"/>
  <c r="B1054" i="1"/>
  <c r="C1054" i="1"/>
  <c r="A1055" i="1"/>
  <c r="B1055" i="1"/>
  <c r="C1055" i="1"/>
  <c r="A1056" i="1"/>
  <c r="B1056" i="1"/>
  <c r="C1056" i="1"/>
  <c r="A1057" i="1"/>
  <c r="B1057" i="1"/>
  <c r="C1057" i="1"/>
  <c r="A1058" i="1"/>
  <c r="B1058" i="1"/>
  <c r="C1058" i="1"/>
  <c r="A1059" i="1"/>
  <c r="B1059" i="1"/>
  <c r="C1059" i="1"/>
  <c r="A1060" i="1"/>
  <c r="B1060" i="1"/>
  <c r="C1060" i="1"/>
  <c r="A1061" i="1"/>
  <c r="B1061" i="1"/>
  <c r="C1061" i="1"/>
  <c r="A1062" i="1"/>
  <c r="B1062" i="1"/>
  <c r="C1062" i="1"/>
  <c r="A1063" i="1"/>
  <c r="B1063" i="1"/>
  <c r="C1063" i="1"/>
  <c r="A1064" i="1"/>
  <c r="B1064" i="1"/>
  <c r="C1064" i="1"/>
  <c r="A1065" i="1"/>
  <c r="B1065" i="1"/>
  <c r="C1065" i="1"/>
  <c r="A1066" i="1"/>
  <c r="B1066" i="1"/>
  <c r="C1066" i="1"/>
  <c r="A1067" i="1"/>
  <c r="B1067" i="1"/>
  <c r="C1067" i="1"/>
  <c r="A1068" i="1"/>
  <c r="B1068" i="1"/>
  <c r="C1068" i="1"/>
  <c r="A1069" i="1"/>
  <c r="B1069" i="1"/>
  <c r="C1069" i="1"/>
  <c r="A1070" i="1"/>
  <c r="B1070" i="1"/>
  <c r="C1070" i="1"/>
  <c r="A1071" i="1"/>
  <c r="B1071" i="1"/>
  <c r="C1071" i="1"/>
  <c r="A1072" i="1"/>
  <c r="B1072" i="1"/>
  <c r="C1072" i="1"/>
  <c r="A1073" i="1"/>
  <c r="B1073" i="1"/>
  <c r="C1073" i="1"/>
  <c r="A1074" i="1"/>
  <c r="B1074" i="1"/>
  <c r="C1074" i="1"/>
  <c r="A1075" i="1"/>
  <c r="B1075" i="1"/>
  <c r="C1075" i="1"/>
  <c r="A1076" i="1"/>
  <c r="B1076" i="1"/>
  <c r="C1076" i="1"/>
  <c r="A1077" i="1"/>
  <c r="B1077" i="1"/>
  <c r="C1077" i="1"/>
  <c r="A1078" i="1"/>
  <c r="B1078" i="1"/>
  <c r="C1078" i="1"/>
  <c r="A1079" i="1"/>
  <c r="B1079" i="1"/>
  <c r="C1079" i="1"/>
  <c r="A1080" i="1"/>
  <c r="B1080" i="1"/>
  <c r="C1080" i="1"/>
  <c r="A1081" i="1"/>
  <c r="B1081" i="1"/>
  <c r="C1081" i="1"/>
  <c r="A1082" i="1"/>
  <c r="B1082" i="1"/>
  <c r="C1082" i="1"/>
  <c r="A1083" i="1"/>
  <c r="B1083" i="1"/>
  <c r="C1083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105" i="5"/>
  <c r="C105" i="5"/>
  <c r="B105" i="5"/>
  <c r="A105" i="5"/>
  <c r="R104" i="5"/>
  <c r="C104" i="5"/>
  <c r="B104" i="5"/>
  <c r="A104" i="5"/>
  <c r="R103" i="5"/>
  <c r="C103" i="5"/>
  <c r="B103" i="5"/>
  <c r="A103" i="5"/>
  <c r="R102" i="5"/>
  <c r="C102" i="5"/>
  <c r="B102" i="5"/>
  <c r="A102" i="5"/>
  <c r="R101" i="5"/>
  <c r="C101" i="5"/>
  <c r="B101" i="5"/>
  <c r="A101" i="5"/>
  <c r="R100" i="5"/>
  <c r="C100" i="5"/>
  <c r="B100" i="5"/>
  <c r="A100" i="5"/>
  <c r="R99" i="5"/>
  <c r="C99" i="5"/>
  <c r="B99" i="5"/>
  <c r="A99" i="5"/>
  <c r="R98" i="5"/>
  <c r="C98" i="5"/>
  <c r="B98" i="5"/>
  <c r="A98" i="5"/>
  <c r="R97" i="5"/>
  <c r="C97" i="5"/>
  <c r="B97" i="5"/>
  <c r="A97" i="5"/>
  <c r="R96" i="5"/>
  <c r="C96" i="5"/>
  <c r="B96" i="5"/>
  <c r="A96" i="5"/>
  <c r="R95" i="5"/>
  <c r="C95" i="5"/>
  <c r="B95" i="5"/>
  <c r="A95" i="5"/>
  <c r="R94" i="5"/>
  <c r="C94" i="5"/>
  <c r="B94" i="5"/>
  <c r="A94" i="5"/>
  <c r="R93" i="5"/>
  <c r="C93" i="5"/>
  <c r="B93" i="5"/>
  <c r="A93" i="5"/>
  <c r="R92" i="5"/>
  <c r="C92" i="5"/>
  <c r="B92" i="5"/>
  <c r="A92" i="5"/>
  <c r="R91" i="5"/>
  <c r="C91" i="5"/>
  <c r="B91" i="5"/>
  <c r="A91" i="5"/>
  <c r="R90" i="5"/>
  <c r="C90" i="5"/>
  <c r="B90" i="5"/>
  <c r="A90" i="5"/>
  <c r="R89" i="5"/>
  <c r="C89" i="5"/>
  <c r="B89" i="5"/>
  <c r="A89" i="5"/>
  <c r="R88" i="5"/>
  <c r="C88" i="5"/>
  <c r="B88" i="5"/>
  <c r="A88" i="5"/>
  <c r="R87" i="5"/>
  <c r="C87" i="5"/>
  <c r="B87" i="5"/>
  <c r="A87" i="5"/>
  <c r="R86" i="5"/>
  <c r="C86" i="5"/>
  <c r="B86" i="5"/>
  <c r="A86" i="5"/>
  <c r="R85" i="5"/>
  <c r="C85" i="5"/>
  <c r="B85" i="5"/>
  <c r="A85" i="5"/>
  <c r="R84" i="5"/>
  <c r="C84" i="5"/>
  <c r="B84" i="5"/>
  <c r="A84" i="5"/>
  <c r="R83" i="5"/>
  <c r="C83" i="5"/>
  <c r="B83" i="5"/>
  <c r="A83" i="5"/>
  <c r="R82" i="5"/>
  <c r="C82" i="5"/>
  <c r="B82" i="5"/>
  <c r="A82" i="5"/>
  <c r="R81" i="5"/>
  <c r="C81" i="5"/>
  <c r="B81" i="5"/>
  <c r="A81" i="5"/>
  <c r="R80" i="5"/>
  <c r="C80" i="5"/>
  <c r="B80" i="5"/>
  <c r="A80" i="5"/>
  <c r="R79" i="5"/>
  <c r="C79" i="5"/>
  <c r="B79" i="5"/>
  <c r="A79" i="5"/>
  <c r="R78" i="5"/>
  <c r="C78" i="5"/>
  <c r="B78" i="5"/>
  <c r="A78" i="5"/>
  <c r="R77" i="5"/>
  <c r="C77" i="5"/>
  <c r="B77" i="5"/>
  <c r="A77" i="5"/>
  <c r="R76" i="5"/>
  <c r="C76" i="5"/>
  <c r="B76" i="5"/>
  <c r="A76" i="5"/>
  <c r="R75" i="5"/>
  <c r="C75" i="5"/>
  <c r="B75" i="5"/>
  <c r="A75" i="5"/>
  <c r="R74" i="5"/>
  <c r="C74" i="5"/>
  <c r="B74" i="5"/>
  <c r="A74" i="5"/>
  <c r="R73" i="5"/>
  <c r="C73" i="5"/>
  <c r="B73" i="5"/>
  <c r="A73" i="5"/>
  <c r="R72" i="5"/>
  <c r="C72" i="5"/>
  <c r="B72" i="5"/>
  <c r="A72" i="5"/>
  <c r="R71" i="5"/>
  <c r="C71" i="5"/>
  <c r="B71" i="5"/>
  <c r="A71" i="5"/>
  <c r="R70" i="5"/>
  <c r="C70" i="5"/>
  <c r="B70" i="5"/>
  <c r="A70" i="5"/>
  <c r="R69" i="5"/>
  <c r="C69" i="5"/>
  <c r="B69" i="5"/>
  <c r="A69" i="5"/>
  <c r="R68" i="5"/>
  <c r="C68" i="5"/>
  <c r="B68" i="5"/>
  <c r="A68" i="5"/>
  <c r="R67" i="5"/>
  <c r="C67" i="5"/>
  <c r="B67" i="5"/>
  <c r="A67" i="5"/>
  <c r="R66" i="5"/>
  <c r="C66" i="5"/>
  <c r="B66" i="5"/>
  <c r="A66" i="5"/>
  <c r="R65" i="5"/>
  <c r="C65" i="5"/>
  <c r="B65" i="5"/>
  <c r="A65" i="5"/>
  <c r="R64" i="5"/>
  <c r="C64" i="5"/>
  <c r="B64" i="5"/>
  <c r="A64" i="5"/>
  <c r="R63" i="5"/>
  <c r="C63" i="5"/>
  <c r="B63" i="5"/>
  <c r="A63" i="5"/>
  <c r="R62" i="5"/>
  <c r="C62" i="5"/>
  <c r="B62" i="5"/>
  <c r="A62" i="5"/>
  <c r="R61" i="5"/>
  <c r="C61" i="5"/>
  <c r="B61" i="5"/>
  <c r="A61" i="5"/>
  <c r="R60" i="5"/>
  <c r="C60" i="5"/>
  <c r="B60" i="5"/>
  <c r="A60" i="5"/>
  <c r="R59" i="5"/>
  <c r="C59" i="5"/>
  <c r="B59" i="5"/>
  <c r="A59" i="5"/>
  <c r="R58" i="5"/>
  <c r="C58" i="5"/>
  <c r="B58" i="5"/>
  <c r="A58" i="5"/>
  <c r="R57" i="5"/>
  <c r="C57" i="5"/>
  <c r="B57" i="5"/>
  <c r="A57" i="5"/>
  <c r="R56" i="5"/>
  <c r="C56" i="5"/>
  <c r="B56" i="5"/>
  <c r="A56" i="5"/>
  <c r="R55" i="5"/>
  <c r="C55" i="5"/>
  <c r="B55" i="5"/>
  <c r="A55" i="5"/>
  <c r="R54" i="5"/>
  <c r="C54" i="5"/>
  <c r="B54" i="5"/>
  <c r="A54" i="5"/>
  <c r="R53" i="5"/>
  <c r="C53" i="5"/>
  <c r="B53" i="5"/>
  <c r="A53" i="5"/>
  <c r="R52" i="5"/>
  <c r="C52" i="5"/>
  <c r="B52" i="5"/>
  <c r="A52" i="5"/>
  <c r="R51" i="5"/>
  <c r="C51" i="5"/>
  <c r="B51" i="5"/>
  <c r="A51" i="5"/>
  <c r="R50" i="5"/>
  <c r="C50" i="5"/>
  <c r="B50" i="5"/>
  <c r="A50" i="5"/>
  <c r="R49" i="5"/>
  <c r="C49" i="5"/>
  <c r="B49" i="5"/>
  <c r="A49" i="5"/>
  <c r="R48" i="5"/>
  <c r="C48" i="5"/>
  <c r="B48" i="5"/>
  <c r="A48" i="5"/>
  <c r="R47" i="5"/>
  <c r="C47" i="5"/>
  <c r="B47" i="5"/>
  <c r="A47" i="5"/>
  <c r="R46" i="5"/>
  <c r="C46" i="5"/>
  <c r="B46" i="5"/>
  <c r="A46" i="5"/>
  <c r="R45" i="5"/>
  <c r="C45" i="5"/>
  <c r="B45" i="5"/>
  <c r="A45" i="5"/>
  <c r="R44" i="5"/>
  <c r="C44" i="5"/>
  <c r="B44" i="5"/>
  <c r="A44" i="5"/>
  <c r="R43" i="5"/>
  <c r="C43" i="5"/>
  <c r="B43" i="5"/>
  <c r="A43" i="5"/>
  <c r="R42" i="5"/>
  <c r="C42" i="5"/>
  <c r="B42" i="5"/>
  <c r="A42" i="5"/>
  <c r="R41" i="5"/>
  <c r="C41" i="5"/>
  <c r="B41" i="5"/>
  <c r="A41" i="5"/>
  <c r="R40" i="5"/>
  <c r="C40" i="5"/>
  <c r="B40" i="5"/>
  <c r="A40" i="5"/>
  <c r="R39" i="5"/>
  <c r="C39" i="5"/>
  <c r="B39" i="5"/>
  <c r="A39" i="5"/>
  <c r="R38" i="5"/>
  <c r="C38" i="5"/>
  <c r="B38" i="5"/>
  <c r="A38" i="5"/>
  <c r="R37" i="5"/>
  <c r="C37" i="5"/>
  <c r="B37" i="5"/>
  <c r="A37" i="5"/>
  <c r="R36" i="5"/>
  <c r="C36" i="5"/>
  <c r="B36" i="5"/>
  <c r="A36" i="5"/>
  <c r="R35" i="5"/>
  <c r="C35" i="5"/>
  <c r="B35" i="5"/>
  <c r="A35" i="5"/>
  <c r="R34" i="5"/>
  <c r="C34" i="5"/>
  <c r="B34" i="5"/>
  <c r="A34" i="5"/>
  <c r="R33" i="5"/>
  <c r="C33" i="5"/>
  <c r="B33" i="5"/>
  <c r="A33" i="5"/>
  <c r="R32" i="5"/>
  <c r="C32" i="5"/>
  <c r="B32" i="5"/>
  <c r="A32" i="5"/>
  <c r="R31" i="5"/>
  <c r="C31" i="5"/>
  <c r="B31" i="5"/>
  <c r="A31" i="5"/>
  <c r="R30" i="5"/>
  <c r="C30" i="5"/>
  <c r="B30" i="5"/>
  <c r="A30" i="5"/>
  <c r="R29" i="5"/>
  <c r="C29" i="5"/>
  <c r="B29" i="5"/>
  <c r="A29" i="5"/>
  <c r="R28" i="5"/>
  <c r="C28" i="5"/>
  <c r="B28" i="5"/>
  <c r="A28" i="5"/>
  <c r="R27" i="5"/>
  <c r="C27" i="5"/>
  <c r="B27" i="5"/>
  <c r="A27" i="5"/>
  <c r="R26" i="5"/>
  <c r="C26" i="5"/>
  <c r="B26" i="5"/>
  <c r="A26" i="5"/>
  <c r="R25" i="5"/>
  <c r="C25" i="5"/>
  <c r="B25" i="5"/>
  <c r="A25" i="5"/>
  <c r="R24" i="5"/>
  <c r="C24" i="5"/>
  <c r="B24" i="5"/>
  <c r="A24" i="5"/>
  <c r="R23" i="5"/>
  <c r="C23" i="5"/>
  <c r="B23" i="5"/>
  <c r="A23" i="5"/>
  <c r="R22" i="5"/>
  <c r="C22" i="5"/>
  <c r="B22" i="5"/>
  <c r="A22" i="5"/>
  <c r="R21" i="5"/>
  <c r="C21" i="5"/>
  <c r="B21" i="5"/>
  <c r="A21" i="5"/>
  <c r="R20" i="5"/>
  <c r="C20" i="5"/>
  <c r="B20" i="5"/>
  <c r="A20" i="5"/>
  <c r="R19" i="5"/>
  <c r="C19" i="5"/>
  <c r="B19" i="5"/>
  <c r="A19" i="5"/>
  <c r="R18" i="5"/>
  <c r="C18" i="5"/>
  <c r="B18" i="5"/>
  <c r="A18" i="5"/>
  <c r="R17" i="5"/>
  <c r="C17" i="5"/>
  <c r="B17" i="5"/>
  <c r="A17" i="5"/>
  <c r="R16" i="5"/>
  <c r="C16" i="5"/>
  <c r="B16" i="5"/>
  <c r="A16" i="5"/>
  <c r="R15" i="5"/>
  <c r="C15" i="5"/>
  <c r="B15" i="5"/>
  <c r="A15" i="5"/>
  <c r="R14" i="5"/>
  <c r="C14" i="5"/>
  <c r="B14" i="5"/>
  <c r="A14" i="5"/>
  <c r="R13" i="5"/>
  <c r="C13" i="5"/>
  <c r="B13" i="5"/>
  <c r="A13" i="5"/>
  <c r="R12" i="5"/>
  <c r="C12" i="5"/>
  <c r="B12" i="5"/>
  <c r="A12" i="5"/>
  <c r="R11" i="5"/>
  <c r="C11" i="5"/>
  <c r="B11" i="5"/>
  <c r="A11" i="5"/>
  <c r="R10" i="5"/>
  <c r="C10" i="5"/>
  <c r="B10" i="5"/>
  <c r="A10" i="5"/>
  <c r="R9" i="5"/>
  <c r="C9" i="5"/>
  <c r="B9" i="5"/>
  <c r="A9" i="5"/>
  <c r="R8" i="5"/>
  <c r="C8" i="5"/>
  <c r="B8" i="5"/>
  <c r="A8" i="5"/>
  <c r="R7" i="5"/>
  <c r="C7" i="5"/>
  <c r="B7" i="5"/>
  <c r="A7" i="5"/>
  <c r="R6" i="5"/>
  <c r="C6" i="5"/>
  <c r="B6" i="5"/>
  <c r="A6" i="5"/>
  <c r="R5" i="5"/>
  <c r="C5" i="5"/>
  <c r="B5" i="5"/>
  <c r="A5" i="5"/>
  <c r="R4" i="5"/>
  <c r="C4" i="5"/>
  <c r="B4" i="5"/>
  <c r="A4" i="5"/>
  <c r="R3" i="5"/>
  <c r="C3" i="5"/>
  <c r="B3" i="5"/>
  <c r="A3" i="5"/>
  <c r="R2" i="5"/>
  <c r="B2" i="5"/>
  <c r="A2" i="5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2" i="1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27" i="2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3" i="1"/>
  <c r="B3" i="1"/>
  <c r="C3" i="1"/>
  <c r="A2" i="1"/>
  <c r="B2" i="1"/>
</calcChain>
</file>

<file path=xl/sharedStrings.xml><?xml version="1.0" encoding="utf-8"?>
<sst xmlns="http://schemas.openxmlformats.org/spreadsheetml/2006/main" count="3776" uniqueCount="234">
  <si>
    <t>Ok</t>
  </si>
  <si>
    <t>FB</t>
  </si>
  <si>
    <t>F1</t>
  </si>
  <si>
    <t>0B</t>
  </si>
  <si>
    <t>B4</t>
  </si>
  <si>
    <t>7B</t>
  </si>
  <si>
    <t>FF</t>
  </si>
  <si>
    <t>D5</t>
  </si>
  <si>
    <t>D9</t>
  </si>
  <si>
    <t>0A</t>
  </si>
  <si>
    <t>EC</t>
  </si>
  <si>
    <t>A1</t>
  </si>
  <si>
    <t>AA</t>
  </si>
  <si>
    <t>E0</t>
  </si>
  <si>
    <t>CB</t>
  </si>
  <si>
    <t>DB</t>
  </si>
  <si>
    <t>6A</t>
  </si>
  <si>
    <t>C6</t>
  </si>
  <si>
    <t>6E</t>
  </si>
  <si>
    <t>5B</t>
  </si>
  <si>
    <t>9F</t>
  </si>
  <si>
    <t>F3</t>
  </si>
  <si>
    <t>CC</t>
  </si>
  <si>
    <t>E6</t>
  </si>
  <si>
    <t>C4</t>
  </si>
  <si>
    <t>A0</t>
  </si>
  <si>
    <t>D8</t>
  </si>
  <si>
    <t>1A</t>
  </si>
  <si>
    <t>1B</t>
  </si>
  <si>
    <t>CE</t>
  </si>
  <si>
    <t>1C</t>
  </si>
  <si>
    <t>5C</t>
  </si>
  <si>
    <t>1D</t>
  </si>
  <si>
    <t>DA</t>
  </si>
  <si>
    <t>1E</t>
  </si>
  <si>
    <t>D0</t>
  </si>
  <si>
    <t>1F</t>
  </si>
  <si>
    <t>D4</t>
  </si>
  <si>
    <t>D1</t>
  </si>
  <si>
    <t>E5</t>
  </si>
  <si>
    <t>DE</t>
  </si>
  <si>
    <t>F2</t>
  </si>
  <si>
    <t>4C</t>
  </si>
  <si>
    <t>CA</t>
  </si>
  <si>
    <t>C0</t>
  </si>
  <si>
    <t>E2</t>
  </si>
  <si>
    <t>2A</t>
  </si>
  <si>
    <t>E8</t>
  </si>
  <si>
    <t>2B</t>
  </si>
  <si>
    <t>2C</t>
  </si>
  <si>
    <t>FC</t>
  </si>
  <si>
    <t>2D</t>
  </si>
  <si>
    <t>7A</t>
  </si>
  <si>
    <t>2E</t>
  </si>
  <si>
    <t>2F</t>
  </si>
  <si>
    <t>F6</t>
  </si>
  <si>
    <t>B2</t>
  </si>
  <si>
    <t>B8</t>
  </si>
  <si>
    <t>3E</t>
  </si>
  <si>
    <t>AC</t>
  </si>
  <si>
    <t>A6</t>
  </si>
  <si>
    <t>3A</t>
  </si>
  <si>
    <t>3B</t>
  </si>
  <si>
    <t>8E</t>
  </si>
  <si>
    <t>D2</t>
  </si>
  <si>
    <t>8C</t>
  </si>
  <si>
    <t>A4</t>
  </si>
  <si>
    <t>AE</t>
  </si>
  <si>
    <t>0C</t>
  </si>
  <si>
    <t>3C</t>
  </si>
  <si>
    <t>0D</t>
  </si>
  <si>
    <t>BA</t>
  </si>
  <si>
    <t>0E</t>
  </si>
  <si>
    <t>B0</t>
  </si>
  <si>
    <t>0F</t>
  </si>
  <si>
    <t>Time</t>
  </si>
  <si>
    <t>Timestamp</t>
  </si>
  <si>
    <t>Diff</t>
  </si>
  <si>
    <t>Status</t>
  </si>
  <si>
    <t>B1</t>
  </si>
  <si>
    <t>B3</t>
  </si>
  <si>
    <t>B5</t>
  </si>
  <si>
    <t>B6</t>
  </si>
  <si>
    <t>B7</t>
  </si>
  <si>
    <t>B9</t>
  </si>
  <si>
    <t>B10</t>
  </si>
  <si>
    <t>B11</t>
  </si>
  <si>
    <t>Dir</t>
  </si>
  <si>
    <t>C2</t>
  </si>
  <si>
    <t>C8</t>
  </si>
  <si>
    <t>4E</t>
  </si>
  <si>
    <t>5A</t>
  </si>
  <si>
    <t>D6</t>
  </si>
  <si>
    <t>5E</t>
  </si>
  <si>
    <t>4A</t>
  </si>
  <si>
    <t>EE</t>
  </si>
  <si>
    <t>FA</t>
  </si>
  <si>
    <t>F0</t>
  </si>
  <si>
    <t>BE</t>
  </si>
  <si>
    <t>BD</t>
  </si>
  <si>
    <t>9E</t>
  </si>
  <si>
    <t>8A</t>
  </si>
  <si>
    <t>A2</t>
  </si>
  <si>
    <t>A8</t>
  </si>
  <si>
    <t>BC</t>
  </si>
  <si>
    <t>F8</t>
  </si>
  <si>
    <t>7E</t>
  </si>
  <si>
    <t>A3</t>
  </si>
  <si>
    <t>8B</t>
  </si>
  <si>
    <t>BB</t>
  </si>
  <si>
    <t>A9</t>
  </si>
  <si>
    <t>AF</t>
  </si>
  <si>
    <t>E7</t>
  </si>
  <si>
    <t>C1</t>
  </si>
  <si>
    <t>9A</t>
  </si>
  <si>
    <t>Decode</t>
  </si>
  <si>
    <t>0A:0000-1010</t>
  </si>
  <si>
    <t>14:0001-0100</t>
  </si>
  <si>
    <t>1E:0001-1110</t>
  </si>
  <si>
    <t>28:0010-1000 = ???</t>
  </si>
  <si>
    <t>32:0011-0010 = ???</t>
  </si>
  <si>
    <t>3C:0011-1100</t>
  </si>
  <si>
    <t>46:0100-0110</t>
  </si>
  <si>
    <t>50:0101-0000</t>
  </si>
  <si>
    <t>5A:0101-1010</t>
  </si>
  <si>
    <t>64:0110-0100 = ???</t>
  </si>
  <si>
    <t>6E:0101-1110</t>
  </si>
  <si>
    <t>78:0111-1000</t>
  </si>
  <si>
    <t>82:1000-0010</t>
  </si>
  <si>
    <t>8C:1000-1100</t>
  </si>
  <si>
    <t>96:1001-0110</t>
  </si>
  <si>
    <t>A0:1010-0000 = ???</t>
  </si>
  <si>
    <t>AA:1010-1010 = ???</t>
  </si>
  <si>
    <t xml:space="preserve">B4:1011-0100 = </t>
  </si>
  <si>
    <t>1623631298851,Ok,08,21,31,07,0A,28,00,64,D1</t>
  </si>
  <si>
    <t>1623631298967,Ok,05,31,21,FF,03,D5</t>
  </si>
  <si>
    <t>1623631299083,Ok,05,21,31,09,60,A1</t>
  </si>
  <si>
    <t>1623631299183,Ok,05,31,21,FF,03,D5</t>
  </si>
  <si>
    <t>1623631299347,Ok,0B,21,31,0B,00,00,28,00,00,00,D1,E5</t>
  </si>
  <si>
    <t>1623631299431,Ok,05,31,21,FF,03,D5</t>
  </si>
  <si>
    <t>1623631299581,Ok,06,21,31,29,00,E0,CB</t>
  </si>
  <si>
    <t>1623631299664,Ok,05,31,21,FF,03,D5</t>
  </si>
  <si>
    <t>1623631299783,Ok,05,21,31,06,60,83</t>
  </si>
  <si>
    <t>1623631358730,Ok,09,31,21,FB,00,00,00,00,F3,CC</t>
  </si>
  <si>
    <t>1623631358873,Ok,08,21,31,07,0A,29,00,E2,D2</t>
  </si>
  <si>
    <t>1623631358975,Ok,05,31,21,FF,03,D5</t>
  </si>
  <si>
    <t>1623631359076,Ok,05,21,31,09,60,A1</t>
  </si>
  <si>
    <t>1623631359175,Ok,05,31,21,FF,03,D5</t>
  </si>
  <si>
    <t>1623631359356,Ok,0B,21,31,0B,00,00,28,00,00,00,D1,E5</t>
  </si>
  <si>
    <t>1623631359457,Ok,05,31,21,FF,03,D5</t>
  </si>
  <si>
    <t>1623631359557,Ok,06,21,31,29,00,E0,CB</t>
  </si>
  <si>
    <t>1623631359658,Ok,05,31,21,FF,03,D5</t>
  </si>
  <si>
    <t>1623631359772,Ok,05,21,31,06,60,83</t>
  </si>
  <si>
    <t>1623631418741,Ok,09,31,21,FB,00,00,00,00,F3,CC</t>
  </si>
  <si>
    <t>1623631418887,Ok,08,21,31,07,0A,2A,00,E8,D2</t>
  </si>
  <si>
    <t>1623631419005,Ok,05,31,21,FF,03,D5</t>
  </si>
  <si>
    <t>1623631419137,Ok,05,21,31,09,60,A1</t>
  </si>
  <si>
    <t>1623631419220,Ok,05,31,21,FF,03,D5</t>
  </si>
  <si>
    <t>1623631419385,Ok,0B,21,31,0B,00,00,28,01,00,00,51,F2</t>
  </si>
  <si>
    <t>1623631419487,Ok,05,31,21,FF,03,D5</t>
  </si>
  <si>
    <t>1623631419601,Ok,06,21,31,29,00,E0,CB</t>
  </si>
  <si>
    <t>1623631419687,Ok,05,31,21,FF,03,D5</t>
  </si>
  <si>
    <t>1623631419808,Ok,05,21,31,06,60,83</t>
  </si>
  <si>
    <t>1623631478737,Ok,09,31,21,FB,00,00,00,00,F3,CC</t>
  </si>
  <si>
    <t>1623631478899,Ok,08,21,31,07,0A,2B,00,6E,D1</t>
  </si>
  <si>
    <t>1623631478987,Ok,05,31,21,FF,03,D5</t>
  </si>
  <si>
    <t>1623631479102,Ok,05,21,31,09,60,A1</t>
  </si>
  <si>
    <t>1623631479204,Ok,05,31,21,FF,03,D5</t>
  </si>
  <si>
    <t>1623631479369,Ok,0B,21,31,0B,00,00,28,01,00,00,51,F2</t>
  </si>
  <si>
    <t>1623631479467,Ok,05,31,21,FF,03,D5</t>
  </si>
  <si>
    <t>1623631479586,Ok,06,21,31,29,00,E0,CB</t>
  </si>
  <si>
    <t>1623631479668,Ok,05,31,21,FF,03,D5</t>
  </si>
  <si>
    <t>1623631479800,Ok,05,21,31,06,60,83</t>
  </si>
  <si>
    <t>1623631538738,Ok,09,31,21,FB,00,00,00,00,F3,CC</t>
  </si>
  <si>
    <t>1623631538884,Ok,08,21,31,07,0A,2C,00,FC,D2</t>
  </si>
  <si>
    <t>1623631538985,Ok,05,31,21,FF,03,D5</t>
  </si>
  <si>
    <t>1623631539119,Ok,05,21,31,09,60,A1</t>
  </si>
  <si>
    <t>1623631539203,Ok,05,31,21,FF,03,D5</t>
  </si>
  <si>
    <t>1623631539384,Ok,0B,21,31,0B,00,00,28,00,00,00,D1,E5</t>
  </si>
  <si>
    <t>1623631539468,Ok,05,31,21,FF,03,D5</t>
  </si>
  <si>
    <t>1623631539617,Ok,06,21,31,29,00,E0,CB</t>
  </si>
  <si>
    <t>1623631539702,Ok,05,31,21,FF,03,D5</t>
  </si>
  <si>
    <t>1623631539814,Ok,05,21,31,06,60,83</t>
  </si>
  <si>
    <t>1623631598739,Ok,09,31,21,FB,00,00,00,00,F3,CC</t>
  </si>
  <si>
    <t>1623631598887,Ok,08,21,31,07,0A,2D,00,7A,D1</t>
  </si>
  <si>
    <t>1623631598986,Ok,05,31,21,FF,03,D5</t>
  </si>
  <si>
    <t>1623631599120,Ok,05,21,31,09,60,A1</t>
  </si>
  <si>
    <t>1623631599205,Ok,05,31,21,FF,03,D5</t>
  </si>
  <si>
    <t>1623631599353,Ok,0B,21,31,0B,00,00,28,01,00,00,51,F2</t>
  </si>
  <si>
    <t>1623631599454,Ok,05,31,21,FF,03,D5</t>
  </si>
  <si>
    <t>1623631599586,Ok,06,21,31,29,00,E0,CB</t>
  </si>
  <si>
    <t>1623631599669,Ok,05,31,21,FF,03,D5</t>
  </si>
  <si>
    <t>1623631599804,Ok,05,21,31,06,60,83</t>
  </si>
  <si>
    <t>1623631658756,Ok,09,31,21,FB,00,00,00,00,F3,CC</t>
  </si>
  <si>
    <t>1623631658879,Ok,08,21,31,07,0A,2E,00,70,D1</t>
  </si>
  <si>
    <t>1623631658988,Ok,05,31,21,FF,03,D5</t>
  </si>
  <si>
    <t>1623631659093,Ok,05,21,31,09,60,A1</t>
  </si>
  <si>
    <t>1623631659189,Ok,05,31,21,FF,03,D5</t>
  </si>
  <si>
    <t>1623631659369,Ok,0B,21,31,0B,00,00,28,01,00,00,51,F2</t>
  </si>
  <si>
    <t>1623631659480,Ok,05,31,21,FF,03,D5</t>
  </si>
  <si>
    <t>1623631659603,Ok,06,21,31,29,00,E0,CB</t>
  </si>
  <si>
    <t>1623631659689,Ok,05,31,21,FF,03,D5</t>
  </si>
  <si>
    <t>1623631659817,Ok,05,21,31,06,60,83</t>
  </si>
  <si>
    <t>1623631718751,Ok,09,31,21,FB,00,00,00,00,F3,CC</t>
  </si>
  <si>
    <t>1623631718883,Ok,08,21,31,07,0A,2F,00,F6,D2</t>
  </si>
  <si>
    <t>1623631718997,Ok,05,31,21,FF,03,D5</t>
  </si>
  <si>
    <t>1623631719096,Ok,05,21,31,09,60,A1</t>
  </si>
  <si>
    <t>1623631719198,Ok,05,31,21,FF,03,D5</t>
  </si>
  <si>
    <t>1623631719362,Ok,0B,21,31,0B,00,00,28,01,00,00,51,F2</t>
  </si>
  <si>
    <t>1623631719446,Ok,05,31,21,FF,03,D5</t>
  </si>
  <si>
    <t>1623631719562,Ok,06,21,31,29,00,E0,CB</t>
  </si>
  <si>
    <t>1623631719663,Ok,05,31,21,FF,03,D5</t>
  </si>
  <si>
    <t>1623631719775,Ok,05,21,31,06,60,83</t>
  </si>
  <si>
    <t>1623631778768,Ok,09,31,21,FB,00,00,00,00,F3,CC</t>
  </si>
  <si>
    <t>1623631778898,Ok,08,21,31,07,0A,30,00,34,D1</t>
  </si>
  <si>
    <t>1623631778983,Ok,05,31,21,FF,03,D5</t>
  </si>
  <si>
    <t>1623631779117,Ok,05,21,31,09,60,A1</t>
  </si>
  <si>
    <t>1623631779199,Ok,05,31,21,FF,03,D5</t>
  </si>
  <si>
    <t>1623631779380,Ok,0B,21,31,0B,00,00,28,01,00,00,51,F2</t>
  </si>
  <si>
    <t>1623631779465,Ok,05,31,21,FF,03,D5</t>
  </si>
  <si>
    <t>1623631779597,Ok,06,21,31,29,00,E0,CB</t>
  </si>
  <si>
    <t>1623631779682,Ok,05,31,21,FF,03,D5</t>
  </si>
  <si>
    <t>1623631779799,Ok,05,21,31,06,60,83</t>
  </si>
  <si>
    <t>1623631838762,Ok,09,31,21,FB,00,00,00,00,F3,CC</t>
  </si>
  <si>
    <t>1623631838909,Ok,08,21,31,07,0A,31,00,B2,D2</t>
  </si>
  <si>
    <t>1623631839009,Ok,05,31,21,FF,03,D5</t>
  </si>
  <si>
    <t>1623631839142,Ok,05,21,31,09,60,A1</t>
  </si>
  <si>
    <t>1623631839242,Ok,05,31,21,FF,03,D5</t>
  </si>
  <si>
    <t>1623631839425,Ok,0B,21,31,0B,00,00,28,01,00,00,51,F2</t>
  </si>
  <si>
    <t>1623631839507,Ok,05,31,21,FF,03,D5</t>
  </si>
  <si>
    <t>1623631839625,Ok,06,21,31,29,00,E0,CB</t>
  </si>
  <si>
    <t>1623631839709,Ok,05,31,21,FF,03,D5</t>
  </si>
  <si>
    <t>1623631839840,Ok,05,21,31,06,60,83</t>
  </si>
  <si>
    <t>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</si>
</sst>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/mm/yyyy\ h:mm:ss"/>
    <numFmt numFmtId="166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applyNumberFormat="1"/>
    <xf numFmtId="165" fontId="0" fillId="0" borderId="0" xfId="0" applyNumberFormat="1"/>
    <xf numFmtId="165" fontId="16" fillId="0" borderId="0" xfId="0" applyNumberFormat="1" applyFont="1"/>
    <xf numFmtId="1" fontId="16" fillId="0" borderId="0" xfId="0" applyNumberFormat="1" applyFont="1"/>
    <xf numFmtId="0" fontId="16" fillId="0" borderId="0" xfId="0" applyFont="1"/>
    <xf numFmtId="164" fontId="16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16" fillId="0" borderId="0" xfId="0" applyFont="1" applyAlignment="1">
      <alignment horizontal="left"/>
    </xf>
    <xf numFmtId="166" fontId="16" fillId="0" borderId="0" xfId="0" applyNumberFormat="1" applyFont="1"/>
    <xf numFmtId="166" fontId="0" fillId="0" borderId="0" xfId="0" applyNumberFormat="1"/>
    <xf numFmtId="165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8"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D9BF8-6E41-4777-AE7B-F217EB47BF4B}">
  <dimension ref="A1:R43"/>
  <sheetViews>
    <sheetView tabSelected="1" workbookViewId="0">
      <pane ySplit="1" topLeftCell="A2" activePane="bottomLeft" state="frozen"/>
      <selection pane="bottomLeft" activeCell="N39" sqref="N39"/>
    </sheetView>
  </sheetViews>
  <sheetFormatPr defaultRowHeight="15" x14ac:dyDescent="0.25"/>
  <cols>
    <col min="1" max="1" width="23.7109375" style="3" customWidth="1"/>
    <col min="2" max="2" width="9.140625" style="8"/>
    <col min="3" max="3" width="8.28515625" style="11" customWidth="1"/>
    <col min="4" max="4" width="24.42578125" style="2" customWidth="1"/>
    <col min="6" max="17" width="9.140625" style="1"/>
    <col min="18" max="18" width="31.7109375" bestFit="1" customWidth="1"/>
  </cols>
  <sheetData>
    <row r="1" spans="1:18" x14ac:dyDescent="0.25">
      <c r="A1" s="4" t="s">
        <v>75</v>
      </c>
      <c r="B1" s="9" t="s">
        <v>87</v>
      </c>
      <c r="C1" s="10" t="s">
        <v>77</v>
      </c>
      <c r="D1" s="5" t="s">
        <v>76</v>
      </c>
      <c r="E1" s="6" t="s">
        <v>78</v>
      </c>
      <c r="F1" s="7" t="s">
        <v>73</v>
      </c>
      <c r="G1" s="7" t="s">
        <v>79</v>
      </c>
      <c r="H1" s="7" t="s">
        <v>56</v>
      </c>
      <c r="I1" s="7" t="s">
        <v>80</v>
      </c>
      <c r="J1" s="7" t="s">
        <v>4</v>
      </c>
      <c r="K1" s="7" t="s">
        <v>81</v>
      </c>
      <c r="L1" s="7" t="s">
        <v>82</v>
      </c>
      <c r="M1" s="7" t="s">
        <v>83</v>
      </c>
      <c r="N1" s="7" t="s">
        <v>57</v>
      </c>
      <c r="O1" s="7" t="s">
        <v>84</v>
      </c>
      <c r="P1" s="7" t="s">
        <v>85</v>
      </c>
      <c r="Q1" s="7" t="s">
        <v>86</v>
      </c>
      <c r="R1" s="7" t="s">
        <v>115</v>
      </c>
    </row>
    <row r="2" spans="1:18" x14ac:dyDescent="0.25">
      <c r="A2" s="12">
        <f>D2/(1000*60*60*24)+25569+10/24</f>
        <v>44761.733867499999</v>
      </c>
      <c r="B2" s="8" t="str">
        <f>IF(AND(G2=21,H2=31),"→",IF(AND(G2=31,H2=21),"←","Error"))</f>
        <v>←</v>
      </c>
      <c r="D2" s="2">
        <v>1658216206152</v>
      </c>
      <c r="E2" t="s">
        <v>0</v>
      </c>
      <c r="F2" s="1">
        <v>5</v>
      </c>
      <c r="G2" s="1">
        <v>31</v>
      </c>
      <c r="H2" s="1">
        <v>21</v>
      </c>
      <c r="I2" s="1">
        <v>1</v>
      </c>
      <c r="J2" s="1">
        <v>81</v>
      </c>
      <c r="K2" s="1" t="s">
        <v>64</v>
      </c>
      <c r="R2" t="e">
        <f>IF(E2="Ok",_xlfn.SWITCH(I2,5,"FURNACE STATUS REPORT Fan:"&amp;IF(_xlfn.BITAND(HEX2DEC(K2),1),"1","0")&amp;" Ignition:"&amp;IF(_xlfn.BITAND(HEX2DEC(K2),2),"1","0")&amp;" Burner:"&amp;IF(_xlfn.BITAND(HEX2DEC(K2),4),"1","0")&amp;" Unknown:"&amp;DEC2HEX(_xlfn.BITAND(HEX2DEC(K2),248)),6,"FURNACE STATUS REQUEST",7,"TIME "&amp;HEX2DEC(J2)&amp;":"&amp;HEX2DEC(K2)&amp;" "&amp;CHOOSE(L2+1,"Mon","Tue","Wed","Thu","Fri","Sat","Sun"),9,"PING FURNACE","0B","TEMPERATURE INFO Set:"&amp;HEX2DEC(K2)&amp;" Actual:"&amp;HEX2DEC(L2)/2&amp;" Countdown:"&amp;HEX2DEC(N2),29,"LONG PING FURNACE","FB","FURNACE STATUS RESPONSE Fan:"&amp;IF(_xlfn.BITAND(HEX2DEC(K2),1),"1","0")&amp;" Ignition:"&amp;IF(_xlfn.BITAND(HEX2DEC(K2),2),"1","0")&amp;" Burner:"&amp;IF(_xlfn.BITAND(HEX2DEC(K2),4),"1","0")&amp;" Unknown:"&amp;DEC2HEX(_xlfn.BITAND(HEX2DEC(K2),248)),"FF","Ack"),"")</f>
        <v>#N/A</v>
      </c>
    </row>
    <row r="3" spans="1:18" x14ac:dyDescent="0.25">
      <c r="A3" s="3">
        <f t="shared" ref="A3:A29" si="0">D3/(1000*60*60*24)+25569+10/24</f>
        <v>44761.733958379627</v>
      </c>
      <c r="B3" s="8" t="str">
        <f>IF(AND(G3=21,H3=31),"→",IF(AND(G3=31,H3=21),"←","Error"))</f>
        <v>Error</v>
      </c>
      <c r="C3" s="11">
        <f>(D3-D2)/1000</f>
        <v>7.8520000000000003</v>
      </c>
      <c r="D3" s="2">
        <v>1658216214004</v>
      </c>
      <c r="E3" t="s">
        <v>0</v>
      </c>
      <c r="F3" s="1">
        <v>5</v>
      </c>
      <c r="G3" s="1">
        <v>31</v>
      </c>
      <c r="H3" s="1">
        <v>22</v>
      </c>
      <c r="I3" s="1">
        <v>1</v>
      </c>
      <c r="J3" s="1" t="s">
        <v>108</v>
      </c>
      <c r="K3" s="1" t="s">
        <v>64</v>
      </c>
      <c r="R3" t="e">
        <f t="shared" ref="R3:R43" si="1">IF(E3="Ok",_xlfn.SWITCH(I3,5,"FURNACE STATUS REPORT Fan:"&amp;IF(_xlfn.BITAND(HEX2DEC(K3),1),"1","0")&amp;" Ignition:"&amp;IF(_xlfn.BITAND(HEX2DEC(K3),2),"1","0")&amp;" Burner:"&amp;IF(_xlfn.BITAND(HEX2DEC(K3),4),"1","0")&amp;" Unknown:"&amp;DEC2HEX(_xlfn.BITAND(HEX2DEC(K3),248)),6,"FURNACE STATUS REQUEST",7,"TIME "&amp;HEX2DEC(J3)&amp;":"&amp;HEX2DEC(K3)&amp;" "&amp;CHOOSE(L3+1,"Mon","Tue","Wed","Thu","Fri","Sat","Sun"),9,"PING FURNACE","0B","TEMPERATURE INFO Set:"&amp;HEX2DEC(K3)&amp;" Actual:"&amp;HEX2DEC(L3)/2&amp;" Countdown:"&amp;HEX2DEC(N3),29,"LONG PING FURNACE","FB","FURNACE STATUS RESPONSE Fan:"&amp;IF(_xlfn.BITAND(HEX2DEC(K3),1),"1","0")&amp;" Ignition:"&amp;IF(_xlfn.BITAND(HEX2DEC(K3),2),"1","0")&amp;" Burner:"&amp;IF(_xlfn.BITAND(HEX2DEC(K3),4),"1","0")&amp;" Unknown:"&amp;DEC2HEX(_xlfn.BITAND(HEX2DEC(K3),248)),"FF","Ack"),"")</f>
        <v>#N/A</v>
      </c>
    </row>
    <row r="4" spans="1:18" x14ac:dyDescent="0.25">
      <c r="A4" s="3">
        <f t="shared" si="0"/>
        <v>44761.733982696758</v>
      </c>
      <c r="B4" s="8" t="str">
        <f t="shared" ref="B4:B29" si="2">IF(AND(G4=21,H4=31),"→",IF(AND(G4=31,H4=21),"←","Error"))</f>
        <v>Error</v>
      </c>
      <c r="C4" s="11">
        <f t="shared" ref="C4:C29" si="3">(D4-D3)/1000</f>
        <v>2.101</v>
      </c>
      <c r="D4" s="2">
        <v>1658216216105</v>
      </c>
      <c r="E4" t="s">
        <v>0</v>
      </c>
      <c r="F4" s="1">
        <v>5</v>
      </c>
      <c r="G4" s="1">
        <v>31</v>
      </c>
      <c r="H4" s="1">
        <v>23</v>
      </c>
      <c r="I4" s="1">
        <v>1</v>
      </c>
      <c r="J4" s="1" t="s">
        <v>70</v>
      </c>
      <c r="K4" s="1" t="s">
        <v>38</v>
      </c>
      <c r="R4" t="e">
        <f t="shared" si="1"/>
        <v>#N/A</v>
      </c>
    </row>
    <row r="5" spans="1:18" x14ac:dyDescent="0.25">
      <c r="A5" s="3">
        <f t="shared" si="0"/>
        <v>44761.734007013882</v>
      </c>
      <c r="B5" s="8" t="str">
        <f t="shared" si="2"/>
        <v>Error</v>
      </c>
      <c r="C5" s="11">
        <f t="shared" si="3"/>
        <v>2.101</v>
      </c>
      <c r="D5" s="2">
        <v>1658216218206</v>
      </c>
      <c r="E5" t="s">
        <v>0</v>
      </c>
      <c r="F5" s="1">
        <v>5</v>
      </c>
      <c r="G5" s="1">
        <v>31</v>
      </c>
      <c r="H5" s="1">
        <v>24</v>
      </c>
      <c r="I5" s="1">
        <v>1</v>
      </c>
      <c r="J5" s="1" t="s">
        <v>20</v>
      </c>
      <c r="K5" s="1" t="s">
        <v>64</v>
      </c>
      <c r="R5" t="e">
        <f t="shared" si="1"/>
        <v>#N/A</v>
      </c>
    </row>
    <row r="6" spans="1:18" x14ac:dyDescent="0.25">
      <c r="A6" s="3">
        <f t="shared" si="0"/>
        <v>44761.734031469903</v>
      </c>
      <c r="B6" s="8" t="str">
        <f t="shared" si="2"/>
        <v>Error</v>
      </c>
      <c r="C6" s="11">
        <f t="shared" si="3"/>
        <v>2.113</v>
      </c>
      <c r="D6" s="2">
        <v>1658216220319</v>
      </c>
      <c r="E6" t="s">
        <v>0</v>
      </c>
      <c r="F6" s="1">
        <v>5</v>
      </c>
      <c r="G6" s="1">
        <v>31</v>
      </c>
      <c r="H6" s="1">
        <v>25</v>
      </c>
      <c r="I6" s="1">
        <v>1</v>
      </c>
      <c r="J6" s="1">
        <v>19</v>
      </c>
      <c r="K6" s="1" t="s">
        <v>38</v>
      </c>
      <c r="R6" t="e">
        <f t="shared" si="1"/>
        <v>#N/A</v>
      </c>
    </row>
    <row r="7" spans="1:18" x14ac:dyDescent="0.25">
      <c r="A7" s="3">
        <f t="shared" si="0"/>
        <v>44761.734055428235</v>
      </c>
      <c r="B7" s="8" t="str">
        <f t="shared" si="2"/>
        <v>Error</v>
      </c>
      <c r="C7" s="11">
        <f t="shared" si="3"/>
        <v>2.0699999999999998</v>
      </c>
      <c r="D7" s="2">
        <v>1658216222389</v>
      </c>
      <c r="E7" t="s">
        <v>0</v>
      </c>
      <c r="F7" s="1">
        <v>5</v>
      </c>
      <c r="G7" s="1">
        <v>31</v>
      </c>
      <c r="H7" s="1">
        <v>26</v>
      </c>
      <c r="I7" s="1">
        <v>1</v>
      </c>
      <c r="J7" s="1">
        <v>13</v>
      </c>
      <c r="K7" s="1" t="s">
        <v>38</v>
      </c>
      <c r="R7" t="e">
        <f t="shared" si="1"/>
        <v>#N/A</v>
      </c>
    </row>
    <row r="8" spans="1:18" x14ac:dyDescent="0.25">
      <c r="A8" s="3">
        <f t="shared" si="0"/>
        <v>44761.734079849535</v>
      </c>
      <c r="B8" s="8" t="str">
        <f t="shared" si="2"/>
        <v>Error</v>
      </c>
      <c r="C8" s="11">
        <f t="shared" si="3"/>
        <v>2.11</v>
      </c>
      <c r="D8" s="2">
        <v>1658216224499</v>
      </c>
      <c r="E8" t="s">
        <v>0</v>
      </c>
      <c r="F8" s="1">
        <v>5</v>
      </c>
      <c r="G8" s="1">
        <v>31</v>
      </c>
      <c r="H8" s="1">
        <v>27</v>
      </c>
      <c r="I8" s="1">
        <v>1</v>
      </c>
      <c r="J8" s="1">
        <v>95</v>
      </c>
      <c r="K8" s="1" t="s">
        <v>64</v>
      </c>
      <c r="R8" t="e">
        <f t="shared" si="1"/>
        <v>#N/A</v>
      </c>
    </row>
    <row r="9" spans="1:18" x14ac:dyDescent="0.25">
      <c r="A9" s="3">
        <f t="shared" si="0"/>
        <v>44761.734104074072</v>
      </c>
      <c r="B9" s="8" t="str">
        <f t="shared" si="2"/>
        <v>Error</v>
      </c>
      <c r="C9" s="11">
        <f t="shared" si="3"/>
        <v>2.093</v>
      </c>
      <c r="D9" s="2">
        <v>1658216226592</v>
      </c>
      <c r="E9" t="s">
        <v>0</v>
      </c>
      <c r="F9" s="1">
        <v>5</v>
      </c>
      <c r="G9" s="1">
        <v>31</v>
      </c>
      <c r="H9" s="1">
        <v>28</v>
      </c>
      <c r="I9" s="1">
        <v>1</v>
      </c>
      <c r="J9" s="1" t="s">
        <v>83</v>
      </c>
      <c r="K9" s="1" t="s">
        <v>64</v>
      </c>
      <c r="R9" t="e">
        <f t="shared" si="1"/>
        <v>#N/A</v>
      </c>
    </row>
    <row r="10" spans="1:18" x14ac:dyDescent="0.25">
      <c r="A10" s="3">
        <f t="shared" si="0"/>
        <v>44761.734128379627</v>
      </c>
      <c r="B10" s="8" t="str">
        <f t="shared" si="2"/>
        <v>Error</v>
      </c>
      <c r="C10" s="11">
        <f t="shared" si="3"/>
        <v>2.1</v>
      </c>
      <c r="D10" s="2">
        <v>1658216228692</v>
      </c>
      <c r="E10" t="s">
        <v>0</v>
      </c>
      <c r="F10" s="1">
        <v>5</v>
      </c>
      <c r="G10" s="1">
        <v>31</v>
      </c>
      <c r="H10" s="1">
        <v>29</v>
      </c>
      <c r="I10" s="1">
        <v>1</v>
      </c>
      <c r="J10" s="1">
        <v>31</v>
      </c>
      <c r="K10" s="1" t="s">
        <v>38</v>
      </c>
      <c r="R10" t="e">
        <f t="shared" si="1"/>
        <v>#N/A</v>
      </c>
    </row>
    <row r="11" spans="1:18" x14ac:dyDescent="0.25">
      <c r="A11" s="3">
        <f t="shared" si="0"/>
        <v>44761.734152708326</v>
      </c>
      <c r="B11" s="8" t="str">
        <f t="shared" si="2"/>
        <v>Error</v>
      </c>
      <c r="C11" s="11">
        <f t="shared" si="3"/>
        <v>2.1019999999999999</v>
      </c>
      <c r="D11" s="2">
        <v>1658216230794</v>
      </c>
      <c r="E11" t="s">
        <v>0</v>
      </c>
      <c r="F11" s="1">
        <v>5</v>
      </c>
      <c r="G11" s="1">
        <v>31</v>
      </c>
      <c r="H11" s="1" t="s">
        <v>46</v>
      </c>
      <c r="I11" s="1">
        <v>1</v>
      </c>
      <c r="J11" s="1" t="s">
        <v>62</v>
      </c>
      <c r="K11" s="1" t="s">
        <v>38</v>
      </c>
      <c r="R11" t="e">
        <f t="shared" si="1"/>
        <v>#N/A</v>
      </c>
    </row>
    <row r="12" spans="1:18" x14ac:dyDescent="0.25">
      <c r="A12" s="3">
        <f t="shared" si="0"/>
        <v>44761.734177025464</v>
      </c>
      <c r="B12" s="8" t="str">
        <f t="shared" si="2"/>
        <v>Error</v>
      </c>
      <c r="C12" s="11">
        <f t="shared" si="3"/>
        <v>2.101</v>
      </c>
      <c r="D12" s="2">
        <v>1658216232895</v>
      </c>
      <c r="E12" t="s">
        <v>0</v>
      </c>
      <c r="F12" s="1">
        <v>5</v>
      </c>
      <c r="G12" s="1">
        <v>31</v>
      </c>
      <c r="H12" s="1" t="s">
        <v>48</v>
      </c>
      <c r="I12" s="1">
        <v>1</v>
      </c>
      <c r="J12" s="1" t="s">
        <v>99</v>
      </c>
      <c r="K12" s="1" t="s">
        <v>64</v>
      </c>
      <c r="R12" t="e">
        <f t="shared" si="1"/>
        <v>#N/A</v>
      </c>
    </row>
    <row r="13" spans="1:18" x14ac:dyDescent="0.25">
      <c r="A13" s="3">
        <f t="shared" si="0"/>
        <v>44761.734201458334</v>
      </c>
      <c r="B13" s="8" t="str">
        <f t="shared" si="2"/>
        <v>Error</v>
      </c>
      <c r="C13" s="11">
        <f t="shared" si="3"/>
        <v>2.1110000000000002</v>
      </c>
      <c r="D13" s="2">
        <v>1658216235006</v>
      </c>
      <c r="E13" t="s">
        <v>0</v>
      </c>
      <c r="F13" s="1">
        <v>5</v>
      </c>
      <c r="G13" s="1">
        <v>31</v>
      </c>
      <c r="H13" s="1" t="s">
        <v>49</v>
      </c>
      <c r="I13" s="1">
        <v>1</v>
      </c>
      <c r="J13" s="1" t="s">
        <v>54</v>
      </c>
      <c r="K13" s="1" t="s">
        <v>38</v>
      </c>
      <c r="R13" t="e">
        <f t="shared" si="1"/>
        <v>#N/A</v>
      </c>
    </row>
    <row r="14" spans="1:18" x14ac:dyDescent="0.25">
      <c r="A14" s="3">
        <f t="shared" si="0"/>
        <v>44761.734225590277</v>
      </c>
      <c r="B14" s="8" t="str">
        <f t="shared" si="2"/>
        <v>Error</v>
      </c>
      <c r="C14" s="11">
        <f t="shared" si="3"/>
        <v>2.085</v>
      </c>
      <c r="D14" s="2">
        <v>1658216237091</v>
      </c>
      <c r="E14" t="s">
        <v>0</v>
      </c>
      <c r="F14" s="1">
        <v>5</v>
      </c>
      <c r="G14" s="1">
        <v>31</v>
      </c>
      <c r="H14" s="1" t="s">
        <v>51</v>
      </c>
      <c r="I14" s="1">
        <v>1</v>
      </c>
      <c r="J14" s="1" t="s">
        <v>110</v>
      </c>
      <c r="K14" s="1" t="s">
        <v>64</v>
      </c>
      <c r="R14" t="e">
        <f t="shared" si="1"/>
        <v>#N/A</v>
      </c>
    </row>
    <row r="15" spans="1:18" x14ac:dyDescent="0.25">
      <c r="A15" s="3">
        <f t="shared" si="0"/>
        <v>44761.734250034722</v>
      </c>
      <c r="B15" s="8" t="str">
        <f t="shared" si="2"/>
        <v>Error</v>
      </c>
      <c r="C15" s="11">
        <f t="shared" si="3"/>
        <v>2.1120000000000001</v>
      </c>
      <c r="D15" s="2">
        <v>1658216239203</v>
      </c>
      <c r="E15" t="s">
        <v>0</v>
      </c>
      <c r="F15" s="1">
        <v>5</v>
      </c>
      <c r="G15" s="1">
        <v>31</v>
      </c>
      <c r="H15" s="1" t="s">
        <v>53</v>
      </c>
      <c r="I15" s="1">
        <v>1</v>
      </c>
      <c r="J15" s="1" t="s">
        <v>107</v>
      </c>
      <c r="K15" s="1" t="s">
        <v>64</v>
      </c>
      <c r="R15" t="e">
        <f t="shared" si="1"/>
        <v>#N/A</v>
      </c>
    </row>
    <row r="16" spans="1:18" x14ac:dyDescent="0.25">
      <c r="A16" s="3">
        <f t="shared" si="0"/>
        <v>44761.734274340277</v>
      </c>
      <c r="B16" s="8" t="str">
        <f t="shared" si="2"/>
        <v>Error</v>
      </c>
      <c r="C16" s="11">
        <f t="shared" si="3"/>
        <v>2.1</v>
      </c>
      <c r="D16" s="2">
        <v>1658216241303</v>
      </c>
      <c r="E16" t="s">
        <v>0</v>
      </c>
      <c r="F16" s="1">
        <v>5</v>
      </c>
      <c r="G16" s="1">
        <v>31</v>
      </c>
      <c r="H16" s="1" t="s">
        <v>54</v>
      </c>
      <c r="I16" s="1">
        <v>1</v>
      </c>
      <c r="J16" s="1">
        <v>25</v>
      </c>
      <c r="K16" s="1" t="s">
        <v>38</v>
      </c>
      <c r="R16" t="e">
        <f t="shared" si="1"/>
        <v>#N/A</v>
      </c>
    </row>
    <row r="17" spans="1:18" x14ac:dyDescent="0.25">
      <c r="A17" s="3">
        <f t="shared" si="0"/>
        <v>44761.734298217591</v>
      </c>
      <c r="B17" s="8" t="str">
        <f t="shared" si="2"/>
        <v>Error</v>
      </c>
      <c r="C17" s="11">
        <f t="shared" si="3"/>
        <v>2.0630000000000002</v>
      </c>
      <c r="D17" s="2">
        <v>1658216243366</v>
      </c>
      <c r="E17" t="s">
        <v>233</v>
      </c>
      <c r="F17" s="1">
        <v>0</v>
      </c>
      <c r="R17" t="str">
        <f t="shared" si="1"/>
        <v/>
      </c>
    </row>
    <row r="18" spans="1:18" x14ac:dyDescent="0.25">
      <c r="A18" s="3">
        <f t="shared" si="0"/>
        <v>44761.734323055549</v>
      </c>
      <c r="B18" s="8" t="str">
        <f t="shared" si="2"/>
        <v>Error</v>
      </c>
      <c r="C18" s="11">
        <f t="shared" si="3"/>
        <v>2.1459999999999999</v>
      </c>
      <c r="D18" s="2">
        <v>1658216245512</v>
      </c>
      <c r="E18" t="s">
        <v>0</v>
      </c>
      <c r="F18" s="1">
        <v>5</v>
      </c>
      <c r="G18" s="1">
        <v>31</v>
      </c>
      <c r="H18" s="1">
        <v>22</v>
      </c>
      <c r="I18" s="1">
        <v>1</v>
      </c>
      <c r="J18" s="1" t="s">
        <v>108</v>
      </c>
      <c r="K18" s="1" t="s">
        <v>64</v>
      </c>
      <c r="R18" t="e">
        <f t="shared" si="1"/>
        <v>#N/A</v>
      </c>
    </row>
    <row r="19" spans="1:18" x14ac:dyDescent="0.25">
      <c r="A19" s="3">
        <f t="shared" si="0"/>
        <v>44761.734347407408</v>
      </c>
      <c r="B19" s="8" t="str">
        <f t="shared" si="2"/>
        <v>Error</v>
      </c>
      <c r="C19" s="11">
        <f t="shared" si="3"/>
        <v>2.1040000000000001</v>
      </c>
      <c r="D19" s="2">
        <v>1658216247616</v>
      </c>
      <c r="E19" t="s">
        <v>0</v>
      </c>
      <c r="F19" s="1">
        <v>5</v>
      </c>
      <c r="G19" s="1">
        <v>31</v>
      </c>
      <c r="H19" s="1">
        <v>23</v>
      </c>
      <c r="I19" s="1">
        <v>1</v>
      </c>
      <c r="J19" s="1" t="s">
        <v>70</v>
      </c>
      <c r="K19" s="1" t="s">
        <v>38</v>
      </c>
      <c r="R19" t="e">
        <f t="shared" si="1"/>
        <v>#N/A</v>
      </c>
    </row>
    <row r="20" spans="1:18" x14ac:dyDescent="0.25">
      <c r="A20" s="3">
        <f t="shared" si="0"/>
        <v>44761.734371666666</v>
      </c>
      <c r="B20" s="8" t="str">
        <f t="shared" si="2"/>
        <v>Error</v>
      </c>
      <c r="C20" s="11">
        <f t="shared" si="3"/>
        <v>2.0960000000000001</v>
      </c>
      <c r="D20" s="2">
        <v>1658216249712</v>
      </c>
      <c r="E20" t="s">
        <v>0</v>
      </c>
      <c r="F20" s="1">
        <v>5</v>
      </c>
      <c r="G20" s="1">
        <v>31</v>
      </c>
      <c r="H20" s="1">
        <v>24</v>
      </c>
      <c r="I20" s="1">
        <v>1</v>
      </c>
      <c r="J20" s="1" t="s">
        <v>20</v>
      </c>
      <c r="K20" s="1" t="s">
        <v>64</v>
      </c>
      <c r="R20" t="e">
        <f t="shared" si="1"/>
        <v>#N/A</v>
      </c>
    </row>
    <row r="21" spans="1:18" x14ac:dyDescent="0.25">
      <c r="A21" s="3">
        <f t="shared" si="0"/>
        <v>44761.734395856482</v>
      </c>
      <c r="B21" s="8" t="str">
        <f t="shared" si="2"/>
        <v>Error</v>
      </c>
      <c r="C21" s="11">
        <f t="shared" si="3"/>
        <v>2.09</v>
      </c>
      <c r="D21" s="2">
        <v>1658216251802</v>
      </c>
      <c r="E21" t="s">
        <v>0</v>
      </c>
      <c r="F21" s="1">
        <v>5</v>
      </c>
      <c r="G21" s="1">
        <v>31</v>
      </c>
      <c r="H21" s="1">
        <v>25</v>
      </c>
      <c r="I21" s="1">
        <v>1</v>
      </c>
      <c r="J21" s="1">
        <v>19</v>
      </c>
      <c r="K21" s="1" t="s">
        <v>38</v>
      </c>
      <c r="R21" t="e">
        <f t="shared" si="1"/>
        <v>#N/A</v>
      </c>
    </row>
    <row r="22" spans="1:18" x14ac:dyDescent="0.25">
      <c r="A22" s="3">
        <f t="shared" si="0"/>
        <v>44761.734420138884</v>
      </c>
      <c r="B22" s="8" t="str">
        <f t="shared" si="2"/>
        <v>Error</v>
      </c>
      <c r="C22" s="11">
        <f t="shared" si="3"/>
        <v>2.0979999999999999</v>
      </c>
      <c r="D22" s="2">
        <v>1658216253900</v>
      </c>
      <c r="E22" t="s">
        <v>0</v>
      </c>
      <c r="F22" s="1">
        <v>5</v>
      </c>
      <c r="G22" s="1">
        <v>31</v>
      </c>
      <c r="H22" s="1">
        <v>26</v>
      </c>
      <c r="I22" s="1">
        <v>1</v>
      </c>
      <c r="J22" s="1">
        <v>13</v>
      </c>
      <c r="K22" s="1" t="s">
        <v>38</v>
      </c>
      <c r="R22" t="e">
        <f t="shared" si="1"/>
        <v>#N/A</v>
      </c>
    </row>
    <row r="23" spans="1:18" x14ac:dyDescent="0.25">
      <c r="A23" s="3">
        <f t="shared" si="0"/>
        <v>44761.734444398149</v>
      </c>
      <c r="B23" s="8" t="str">
        <f t="shared" si="2"/>
        <v>Error</v>
      </c>
      <c r="C23" s="11">
        <f t="shared" si="3"/>
        <v>2.0960000000000001</v>
      </c>
      <c r="D23" s="2">
        <v>1658216255996</v>
      </c>
      <c r="E23" t="s">
        <v>0</v>
      </c>
      <c r="F23" s="1">
        <v>5</v>
      </c>
      <c r="G23" s="1">
        <v>31</v>
      </c>
      <c r="H23" s="1">
        <v>27</v>
      </c>
      <c r="I23" s="1">
        <v>1</v>
      </c>
      <c r="J23" s="1">
        <v>95</v>
      </c>
      <c r="K23" s="1" t="s">
        <v>64</v>
      </c>
      <c r="R23" t="e">
        <f t="shared" si="1"/>
        <v>#N/A</v>
      </c>
    </row>
    <row r="24" spans="1:18" x14ac:dyDescent="0.25">
      <c r="A24" s="3">
        <f t="shared" si="0"/>
        <v>44761.734468726849</v>
      </c>
      <c r="B24" s="8" t="str">
        <f t="shared" si="2"/>
        <v>Error</v>
      </c>
      <c r="C24" s="11">
        <f t="shared" si="3"/>
        <v>2.1019999999999999</v>
      </c>
      <c r="D24" s="2">
        <v>1658216258098</v>
      </c>
      <c r="E24" t="s">
        <v>0</v>
      </c>
      <c r="F24" s="1">
        <v>5</v>
      </c>
      <c r="G24" s="1">
        <v>31</v>
      </c>
      <c r="H24" s="1">
        <v>28</v>
      </c>
      <c r="I24" s="1">
        <v>1</v>
      </c>
      <c r="J24" s="1" t="s">
        <v>83</v>
      </c>
      <c r="K24" s="1" t="s">
        <v>64</v>
      </c>
      <c r="R24" t="e">
        <f t="shared" si="1"/>
        <v>#N/A</v>
      </c>
    </row>
    <row r="25" spans="1:18" x14ac:dyDescent="0.25">
      <c r="A25" s="3">
        <f t="shared" si="0"/>
        <v>44761.734493009259</v>
      </c>
      <c r="B25" s="8" t="str">
        <f t="shared" si="2"/>
        <v>Error</v>
      </c>
      <c r="C25" s="11">
        <f t="shared" si="3"/>
        <v>2.0979999999999999</v>
      </c>
      <c r="D25" s="2">
        <v>1658216260196</v>
      </c>
      <c r="E25" t="s">
        <v>0</v>
      </c>
      <c r="F25" s="1">
        <v>5</v>
      </c>
      <c r="G25" s="1">
        <v>31</v>
      </c>
      <c r="H25" s="1">
        <v>29</v>
      </c>
      <c r="I25" s="1">
        <v>1</v>
      </c>
      <c r="J25" s="1">
        <v>31</v>
      </c>
      <c r="K25" s="1" t="s">
        <v>38</v>
      </c>
      <c r="R25" t="e">
        <f t="shared" si="1"/>
        <v>#N/A</v>
      </c>
    </row>
    <row r="26" spans="1:18" x14ac:dyDescent="0.25">
      <c r="A26" s="3">
        <f t="shared" si="0"/>
        <v>44761.734517314813</v>
      </c>
      <c r="B26" s="8" t="str">
        <f t="shared" si="2"/>
        <v>Error</v>
      </c>
      <c r="C26" s="11">
        <f t="shared" si="3"/>
        <v>2.1</v>
      </c>
      <c r="D26" s="2">
        <v>1658216262296</v>
      </c>
      <c r="E26" t="s">
        <v>0</v>
      </c>
      <c r="F26" s="1">
        <v>5</v>
      </c>
      <c r="G26" s="1">
        <v>31</v>
      </c>
      <c r="H26" s="1" t="s">
        <v>46</v>
      </c>
      <c r="I26" s="1">
        <v>1</v>
      </c>
      <c r="J26" s="1" t="s">
        <v>62</v>
      </c>
      <c r="K26" s="1" t="s">
        <v>38</v>
      </c>
      <c r="R26" t="e">
        <f t="shared" si="1"/>
        <v>#N/A</v>
      </c>
    </row>
    <row r="27" spans="1:18" x14ac:dyDescent="0.25">
      <c r="A27" s="3">
        <f t="shared" si="0"/>
        <v>44761.734541724531</v>
      </c>
      <c r="B27" s="8" t="str">
        <f t="shared" si="2"/>
        <v>Error</v>
      </c>
      <c r="C27" s="11">
        <f t="shared" si="3"/>
        <v>2.109</v>
      </c>
      <c r="D27" s="2">
        <v>1658216264405</v>
      </c>
      <c r="E27" t="s">
        <v>0</v>
      </c>
      <c r="F27" s="1">
        <v>5</v>
      </c>
      <c r="G27" s="1">
        <v>31</v>
      </c>
      <c r="H27" s="1" t="s">
        <v>48</v>
      </c>
      <c r="I27" s="1">
        <v>1</v>
      </c>
      <c r="J27" s="1" t="s">
        <v>99</v>
      </c>
      <c r="K27" s="1" t="s">
        <v>64</v>
      </c>
      <c r="R27" t="e">
        <f t="shared" si="1"/>
        <v>#N/A</v>
      </c>
    </row>
    <row r="28" spans="1:18" x14ac:dyDescent="0.25">
      <c r="A28" s="3">
        <f t="shared" si="0"/>
        <v>44761.734565960644</v>
      </c>
      <c r="B28" s="8" t="str">
        <f t="shared" si="2"/>
        <v>Error</v>
      </c>
      <c r="C28" s="11">
        <f t="shared" si="3"/>
        <v>2.0939999999999999</v>
      </c>
      <c r="D28" s="2">
        <v>1658216266499</v>
      </c>
      <c r="E28" t="s">
        <v>0</v>
      </c>
      <c r="F28" s="1">
        <v>5</v>
      </c>
      <c r="G28" s="1">
        <v>31</v>
      </c>
      <c r="H28" s="1" t="s">
        <v>49</v>
      </c>
      <c r="I28" s="1">
        <v>1</v>
      </c>
      <c r="J28" s="1" t="s">
        <v>54</v>
      </c>
      <c r="K28" s="1" t="s">
        <v>38</v>
      </c>
      <c r="R28" t="e">
        <f t="shared" si="1"/>
        <v>#N/A</v>
      </c>
    </row>
    <row r="29" spans="1:18" x14ac:dyDescent="0.25">
      <c r="A29" s="3">
        <f t="shared" si="0"/>
        <v>44761.734590358792</v>
      </c>
      <c r="B29" s="8" t="str">
        <f t="shared" si="2"/>
        <v>Error</v>
      </c>
      <c r="C29" s="11">
        <f t="shared" si="3"/>
        <v>2.1080000000000001</v>
      </c>
      <c r="D29" s="2">
        <v>1658216268607</v>
      </c>
      <c r="E29" t="s">
        <v>0</v>
      </c>
      <c r="F29" s="1">
        <v>5</v>
      </c>
      <c r="G29" s="1">
        <v>31</v>
      </c>
      <c r="H29" s="1" t="s">
        <v>51</v>
      </c>
      <c r="I29" s="1">
        <v>1</v>
      </c>
      <c r="J29" s="1" t="s">
        <v>110</v>
      </c>
      <c r="K29" s="1" t="s">
        <v>64</v>
      </c>
      <c r="R29" t="e">
        <f t="shared" si="1"/>
        <v>#N/A</v>
      </c>
    </row>
    <row r="30" spans="1:18" x14ac:dyDescent="0.25">
      <c r="A30" s="3">
        <f t="shared" ref="A30:A43" si="4">D30/(1000*60*60*24)+25569+10/24</f>
        <v>44761.734614652778</v>
      </c>
      <c r="B30" s="8" t="str">
        <f t="shared" ref="B30:B43" si="5">IF(AND(G30=21,H30=31),"→",IF(AND(G30=31,H30=21),"←","Error"))</f>
        <v>Error</v>
      </c>
      <c r="C30" s="11">
        <f t="shared" ref="C30:C43" si="6">(D30-D29)/1000</f>
        <v>2.0990000000000002</v>
      </c>
      <c r="D30" s="2">
        <v>1658216270706</v>
      </c>
      <c r="E30" t="s">
        <v>0</v>
      </c>
      <c r="F30" s="1">
        <v>5</v>
      </c>
      <c r="G30" s="1">
        <v>31</v>
      </c>
      <c r="H30" s="1" t="s">
        <v>53</v>
      </c>
      <c r="I30" s="1">
        <v>1</v>
      </c>
      <c r="J30" s="1" t="s">
        <v>107</v>
      </c>
      <c r="K30" s="1" t="s">
        <v>64</v>
      </c>
      <c r="R30" t="e">
        <f t="shared" si="1"/>
        <v>#N/A</v>
      </c>
    </row>
    <row r="31" spans="1:18" x14ac:dyDescent="0.25">
      <c r="A31" s="3">
        <f t="shared" si="4"/>
        <v>44761.734638923612</v>
      </c>
      <c r="B31" s="8" t="str">
        <f t="shared" si="5"/>
        <v>Error</v>
      </c>
      <c r="C31" s="11">
        <f t="shared" si="6"/>
        <v>2.097</v>
      </c>
      <c r="D31" s="2">
        <v>1658216272803</v>
      </c>
      <c r="E31" t="s">
        <v>0</v>
      </c>
      <c r="F31" s="1">
        <v>5</v>
      </c>
      <c r="G31" s="1">
        <v>31</v>
      </c>
      <c r="H31" s="1" t="s">
        <v>54</v>
      </c>
      <c r="I31" s="1">
        <v>1</v>
      </c>
      <c r="J31" s="1">
        <v>25</v>
      </c>
      <c r="K31" s="1" t="s">
        <v>38</v>
      </c>
      <c r="R31" t="e">
        <f t="shared" si="1"/>
        <v>#N/A</v>
      </c>
    </row>
    <row r="32" spans="1:18" x14ac:dyDescent="0.25">
      <c r="A32" s="3">
        <f t="shared" si="4"/>
        <v>44761.734662615738</v>
      </c>
      <c r="B32" s="8" t="str">
        <f t="shared" si="5"/>
        <v>Error</v>
      </c>
      <c r="C32" s="11">
        <f t="shared" si="6"/>
        <v>2.0470000000000002</v>
      </c>
      <c r="D32" s="2">
        <v>1658216274850</v>
      </c>
      <c r="E32" t="s">
        <v>233</v>
      </c>
      <c r="F32" s="1">
        <v>0</v>
      </c>
      <c r="R32" t="str">
        <f t="shared" si="1"/>
        <v/>
      </c>
    </row>
    <row r="33" spans="1:18" x14ac:dyDescent="0.25">
      <c r="A33" s="3">
        <f t="shared" si="4"/>
        <v>44761.734687696757</v>
      </c>
      <c r="B33" s="8" t="str">
        <f t="shared" si="5"/>
        <v>Error</v>
      </c>
      <c r="C33" s="11">
        <f t="shared" si="6"/>
        <v>2.1669999999999998</v>
      </c>
      <c r="D33" s="2">
        <v>1658216277017</v>
      </c>
      <c r="E33" t="s">
        <v>0</v>
      </c>
      <c r="F33" s="1">
        <v>5</v>
      </c>
      <c r="G33" s="1">
        <v>31</v>
      </c>
      <c r="H33" s="1">
        <v>22</v>
      </c>
      <c r="I33" s="1">
        <v>1</v>
      </c>
      <c r="J33" s="1" t="s">
        <v>108</v>
      </c>
      <c r="K33" s="1" t="s">
        <v>64</v>
      </c>
      <c r="R33" t="e">
        <f t="shared" si="1"/>
        <v>#N/A</v>
      </c>
    </row>
    <row r="34" spans="1:18" x14ac:dyDescent="0.25">
      <c r="A34" s="3">
        <f t="shared" si="4"/>
        <v>44761.734711782403</v>
      </c>
      <c r="B34" s="8" t="str">
        <f t="shared" si="5"/>
        <v>Error</v>
      </c>
      <c r="C34" s="11">
        <f t="shared" si="6"/>
        <v>2.081</v>
      </c>
      <c r="D34" s="2">
        <v>1658216279098</v>
      </c>
      <c r="E34" t="s">
        <v>0</v>
      </c>
      <c r="F34" s="1">
        <v>5</v>
      </c>
      <c r="G34" s="1">
        <v>31</v>
      </c>
      <c r="H34" s="1">
        <v>23</v>
      </c>
      <c r="I34" s="1">
        <v>1</v>
      </c>
      <c r="J34" s="1" t="s">
        <v>70</v>
      </c>
      <c r="K34" s="1" t="s">
        <v>38</v>
      </c>
      <c r="R34" t="e">
        <f t="shared" si="1"/>
        <v>#N/A</v>
      </c>
    </row>
    <row r="35" spans="1:18" x14ac:dyDescent="0.25">
      <c r="A35" s="3">
        <f t="shared" si="4"/>
        <v>44761.734736319442</v>
      </c>
      <c r="B35" s="8" t="str">
        <f t="shared" si="5"/>
        <v>Error</v>
      </c>
      <c r="C35" s="11">
        <f t="shared" si="6"/>
        <v>2.12</v>
      </c>
      <c r="D35" s="2">
        <v>1658216281218</v>
      </c>
      <c r="E35" t="s">
        <v>0</v>
      </c>
      <c r="F35" s="1">
        <v>5</v>
      </c>
      <c r="G35" s="1">
        <v>31</v>
      </c>
      <c r="H35" s="1">
        <v>24</v>
      </c>
      <c r="I35" s="1">
        <v>1</v>
      </c>
      <c r="J35" s="1" t="s">
        <v>20</v>
      </c>
      <c r="K35" s="1" t="s">
        <v>64</v>
      </c>
      <c r="R35" t="e">
        <f t="shared" si="1"/>
        <v>#N/A</v>
      </c>
    </row>
    <row r="36" spans="1:18" x14ac:dyDescent="0.25">
      <c r="A36" s="3">
        <f t="shared" si="4"/>
        <v>44761.734760439816</v>
      </c>
      <c r="B36" s="8" t="str">
        <f t="shared" si="5"/>
        <v>Error</v>
      </c>
      <c r="C36" s="11">
        <f t="shared" si="6"/>
        <v>2.0840000000000001</v>
      </c>
      <c r="D36" s="2">
        <v>1658216283302</v>
      </c>
      <c r="E36" t="s">
        <v>0</v>
      </c>
      <c r="F36" s="1">
        <v>5</v>
      </c>
      <c r="G36" s="1">
        <v>31</v>
      </c>
      <c r="H36" s="1">
        <v>25</v>
      </c>
      <c r="I36" s="1">
        <v>1</v>
      </c>
      <c r="J36" s="1">
        <v>19</v>
      </c>
      <c r="K36" s="1" t="s">
        <v>38</v>
      </c>
      <c r="R36" t="e">
        <f t="shared" si="1"/>
        <v>#N/A</v>
      </c>
    </row>
    <row r="37" spans="1:18" x14ac:dyDescent="0.25">
      <c r="A37" s="3">
        <f t="shared" si="4"/>
        <v>44761.734784884255</v>
      </c>
      <c r="B37" s="8" t="str">
        <f t="shared" si="5"/>
        <v>Error</v>
      </c>
      <c r="C37" s="11">
        <f t="shared" si="6"/>
        <v>2.1120000000000001</v>
      </c>
      <c r="D37" s="2">
        <v>1658216285414</v>
      </c>
      <c r="E37" t="s">
        <v>0</v>
      </c>
      <c r="F37" s="1">
        <v>5</v>
      </c>
      <c r="G37" s="1">
        <v>31</v>
      </c>
      <c r="H37" s="1">
        <v>26</v>
      </c>
      <c r="I37" s="1">
        <v>1</v>
      </c>
      <c r="J37" s="1">
        <v>13</v>
      </c>
      <c r="K37" s="1" t="s">
        <v>38</v>
      </c>
      <c r="R37" t="e">
        <f t="shared" si="1"/>
        <v>#N/A</v>
      </c>
    </row>
    <row r="38" spans="1:18" x14ac:dyDescent="0.25">
      <c r="A38" s="3">
        <f t="shared" si="4"/>
        <v>44761.734809201385</v>
      </c>
      <c r="B38" s="8" t="str">
        <f t="shared" si="5"/>
        <v>Error</v>
      </c>
      <c r="C38" s="11">
        <f t="shared" si="6"/>
        <v>2.101</v>
      </c>
      <c r="D38" s="2">
        <v>1658216287515</v>
      </c>
      <c r="E38" t="s">
        <v>0</v>
      </c>
      <c r="F38" s="1">
        <v>5</v>
      </c>
      <c r="G38" s="1">
        <v>31</v>
      </c>
      <c r="H38" s="1">
        <v>27</v>
      </c>
      <c r="I38" s="1">
        <v>1</v>
      </c>
      <c r="J38" s="1">
        <v>95</v>
      </c>
      <c r="K38" s="1" t="s">
        <v>64</v>
      </c>
      <c r="R38" t="e">
        <f t="shared" si="1"/>
        <v>#N/A</v>
      </c>
    </row>
    <row r="39" spans="1:18" x14ac:dyDescent="0.25">
      <c r="A39" s="3">
        <f t="shared" si="4"/>
        <v>44761.734833287039</v>
      </c>
      <c r="B39" s="8" t="str">
        <f t="shared" si="5"/>
        <v>Error</v>
      </c>
      <c r="C39" s="11">
        <f t="shared" si="6"/>
        <v>2.081</v>
      </c>
      <c r="D39" s="2">
        <v>1658216289596</v>
      </c>
      <c r="E39" t="s">
        <v>0</v>
      </c>
      <c r="F39" s="1">
        <v>5</v>
      </c>
      <c r="G39" s="1">
        <v>31</v>
      </c>
      <c r="H39" s="1">
        <v>28</v>
      </c>
      <c r="I39" s="1">
        <v>1</v>
      </c>
      <c r="J39" s="1" t="s">
        <v>83</v>
      </c>
      <c r="K39" s="1" t="s">
        <v>64</v>
      </c>
      <c r="R39" t="e">
        <f t="shared" si="1"/>
        <v>#N/A</v>
      </c>
    </row>
    <row r="40" spans="1:18" x14ac:dyDescent="0.25">
      <c r="A40" s="3">
        <f t="shared" si="4"/>
        <v>44761.734857719908</v>
      </c>
      <c r="B40" s="8" t="str">
        <f t="shared" si="5"/>
        <v>Error</v>
      </c>
      <c r="C40" s="11">
        <f t="shared" si="6"/>
        <v>2.1110000000000002</v>
      </c>
      <c r="D40" s="2">
        <v>1658216291707</v>
      </c>
      <c r="E40" t="s">
        <v>0</v>
      </c>
      <c r="F40" s="1">
        <v>5</v>
      </c>
      <c r="G40" s="1">
        <v>31</v>
      </c>
      <c r="H40" s="1">
        <v>29</v>
      </c>
      <c r="I40" s="1">
        <v>1</v>
      </c>
      <c r="J40" s="1">
        <v>31</v>
      </c>
      <c r="K40" s="1" t="s">
        <v>38</v>
      </c>
      <c r="R40" t="e">
        <f t="shared" si="1"/>
        <v>#N/A</v>
      </c>
    </row>
    <row r="41" spans="1:18" x14ac:dyDescent="0.25">
      <c r="A41" s="3">
        <f t="shared" si="4"/>
        <v>44761.73488196759</v>
      </c>
      <c r="B41" s="8" t="str">
        <f t="shared" si="5"/>
        <v>Error</v>
      </c>
      <c r="C41" s="11">
        <f t="shared" si="6"/>
        <v>2.0950000000000002</v>
      </c>
      <c r="D41" s="2">
        <v>1658216293802</v>
      </c>
      <c r="E41" t="s">
        <v>0</v>
      </c>
      <c r="F41" s="1">
        <v>5</v>
      </c>
      <c r="G41" s="1">
        <v>31</v>
      </c>
      <c r="H41" s="1" t="s">
        <v>46</v>
      </c>
      <c r="I41" s="1">
        <v>1</v>
      </c>
      <c r="J41" s="1" t="s">
        <v>62</v>
      </c>
      <c r="K41" s="1" t="s">
        <v>38</v>
      </c>
      <c r="R41" t="e">
        <f t="shared" si="1"/>
        <v>#N/A</v>
      </c>
    </row>
    <row r="42" spans="1:18" x14ac:dyDescent="0.25">
      <c r="A42" s="3">
        <f t="shared" si="4"/>
        <v>44761.73490635417</v>
      </c>
      <c r="B42" s="8" t="str">
        <f t="shared" si="5"/>
        <v>Error</v>
      </c>
      <c r="C42" s="11">
        <f t="shared" si="6"/>
        <v>2.1070000000000002</v>
      </c>
      <c r="D42" s="2">
        <v>1658216295909</v>
      </c>
      <c r="E42" t="s">
        <v>0</v>
      </c>
      <c r="F42" s="1">
        <v>5</v>
      </c>
      <c r="G42" s="1">
        <v>31</v>
      </c>
      <c r="H42" s="1" t="s">
        <v>48</v>
      </c>
      <c r="I42" s="1">
        <v>1</v>
      </c>
      <c r="J42" s="1" t="s">
        <v>99</v>
      </c>
      <c r="K42" s="1" t="s">
        <v>64</v>
      </c>
      <c r="R42" t="e">
        <f t="shared" si="1"/>
        <v>#N/A</v>
      </c>
    </row>
    <row r="43" spans="1:18" x14ac:dyDescent="0.25">
      <c r="A43" s="3">
        <f t="shared" si="4"/>
        <v>44761.734930810184</v>
      </c>
      <c r="B43" s="8" t="str">
        <f t="shared" si="5"/>
        <v>Error</v>
      </c>
      <c r="C43" s="11">
        <f t="shared" si="6"/>
        <v>2.113</v>
      </c>
      <c r="D43" s="2">
        <v>1658216298022</v>
      </c>
      <c r="E43" t="s">
        <v>0</v>
      </c>
      <c r="F43" s="1">
        <v>5</v>
      </c>
      <c r="G43" s="1">
        <v>31</v>
      </c>
      <c r="H43" s="1" t="s">
        <v>49</v>
      </c>
      <c r="I43" s="1">
        <v>1</v>
      </c>
      <c r="J43" s="1" t="s">
        <v>54</v>
      </c>
      <c r="K43" s="1" t="s">
        <v>38</v>
      </c>
      <c r="R43" t="e">
        <f t="shared" si="1"/>
        <v>#N/A</v>
      </c>
    </row>
  </sheetData>
  <autoFilter ref="A1:R13802" xr:uid="{1D9EE959-5D9F-401E-B357-6E0D9910D0BE}"/>
  <conditionalFormatting sqref="E1:E1048576 B1:C1048576">
    <cfRule type="cellIs" dxfId="6" priority="5" operator="equal">
      <formula>"Ok"</formula>
    </cfRule>
    <cfRule type="cellIs" dxfId="5" priority="6" operator="equal">
      <formula>"Er"</formula>
    </cfRule>
    <cfRule type="cellIs" dxfId="4" priority="7" operator="equal">
      <formula>"Ln"</formula>
    </cfRule>
  </conditionalFormatting>
  <conditionalFormatting sqref="I1:I1048576">
    <cfRule type="cellIs" dxfId="3" priority="4" operator="equal">
      <formula>7</formula>
    </cfRule>
  </conditionalFormatting>
  <conditionalFormatting sqref="B1:C1048576">
    <cfRule type="cellIs" dxfId="2" priority="2" operator="equal">
      <formula>"→"</formula>
    </cfRule>
    <cfRule type="cellIs" dxfId="1" priority="3" operator="equal">
      <formula>"←"</formula>
    </cfRule>
  </conditionalFormatting>
  <conditionalFormatting sqref="C1:C1048576">
    <cfRule type="cellIs" dxfId="0" priority="1" operator="greaterThan">
      <formula>1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FFDAD-2E67-4FBF-B937-E72BE299A7B1}">
  <dimension ref="A1:R29"/>
  <sheetViews>
    <sheetView workbookViewId="0">
      <pane ySplit="1" topLeftCell="A2" activePane="bottomLeft" state="frozen"/>
      <selection pane="bottomLeft" activeCell="B8" sqref="B8:B11"/>
    </sheetView>
  </sheetViews>
  <sheetFormatPr defaultRowHeight="15" x14ac:dyDescent="0.25"/>
  <cols>
    <col min="1" max="1" width="23.7109375" style="3" customWidth="1"/>
    <col min="2" max="2" width="9.140625" style="8"/>
    <col min="3" max="3" width="8.28515625" style="11" customWidth="1"/>
    <col min="4" max="4" width="24.42578125" style="2" customWidth="1"/>
    <col min="6" max="17" width="9.140625" style="1"/>
    <col min="18" max="18" width="31.7109375" bestFit="1" customWidth="1"/>
  </cols>
  <sheetData>
    <row r="1" spans="1:18" x14ac:dyDescent="0.25">
      <c r="A1" s="4" t="s">
        <v>75</v>
      </c>
      <c r="B1" s="9" t="s">
        <v>87</v>
      </c>
      <c r="C1" s="10" t="s">
        <v>77</v>
      </c>
      <c r="D1" s="5" t="s">
        <v>76</v>
      </c>
      <c r="E1" s="6" t="s">
        <v>78</v>
      </c>
      <c r="F1" s="7" t="s">
        <v>73</v>
      </c>
      <c r="G1" s="7" t="s">
        <v>79</v>
      </c>
      <c r="H1" s="7" t="s">
        <v>56</v>
      </c>
      <c r="I1" s="7" t="s">
        <v>80</v>
      </c>
      <c r="J1" s="7" t="s">
        <v>4</v>
      </c>
      <c r="K1" s="7" t="s">
        <v>81</v>
      </c>
      <c r="L1" s="7" t="s">
        <v>82</v>
      </c>
      <c r="M1" s="7" t="s">
        <v>83</v>
      </c>
      <c r="N1" s="7" t="s">
        <v>57</v>
      </c>
      <c r="O1" s="7" t="s">
        <v>84</v>
      </c>
      <c r="P1" s="7" t="s">
        <v>85</v>
      </c>
      <c r="Q1" s="7" t="s">
        <v>86</v>
      </c>
      <c r="R1" s="7" t="s">
        <v>115</v>
      </c>
    </row>
    <row r="2" spans="1:18" x14ac:dyDescent="0.25">
      <c r="A2" s="12">
        <f>D2/(1000*60*60*24)+25569+10/24</f>
        <v>44761.619194282401</v>
      </c>
      <c r="B2" s="8" t="str">
        <f>IF(AND(G2=21,H2=31),"→",IF(AND(G2=31,H2=21),"←","Error"))</f>
        <v>Error</v>
      </c>
      <c r="D2" s="2">
        <v>1658206298386</v>
      </c>
      <c r="E2" t="s">
        <v>233</v>
      </c>
      <c r="F2" s="1">
        <v>0</v>
      </c>
      <c r="R2" t="str">
        <f>IF(E2="Ok",_xlfn.SWITCH(I2,5,"FURNACE STATUS REPORT Fan:"&amp;IF(_xlfn.BITAND(HEX2DEC(K2),1),"1","0")&amp;" Ignition:"&amp;IF(_xlfn.BITAND(HEX2DEC(K2),2),"1","0")&amp;" Burner:"&amp;IF(_xlfn.BITAND(HEX2DEC(K2),4),"1","0")&amp;" Unknown:"&amp;DEC2HEX(_xlfn.BITAND(HEX2DEC(K2),248)),6,"FURNACE STATUS REQUEST",7,"TIME "&amp;HEX2DEC(J2)&amp;":"&amp;HEX2DEC(K2)&amp;" "&amp;CHOOSE(L2+1,"Mon","Tue","Wed","Thu","Fri","Sat","Sun"),9,"PING FURNACE","0B","TEMPERATURE INFO Set:"&amp;HEX2DEC(K2)&amp;" Actual:"&amp;HEX2DEC(L2)/2&amp;" Countdown:"&amp;HEX2DEC(N2),29,"LONG PING FURNACE","FB","FURNACE STATUS RESPONSE Fan:"&amp;IF(_xlfn.BITAND(HEX2DEC(K2),1),"1","0")&amp;" Ignition:"&amp;IF(_xlfn.BITAND(HEX2DEC(K2),2),"1","0")&amp;" Burner:"&amp;IF(_xlfn.BITAND(HEX2DEC(K2),4),"1","0")&amp;" Unknown:"&amp;DEC2HEX(_xlfn.BITAND(HEX2DEC(K2),248)),"FF","Ack"),"")</f>
        <v/>
      </c>
    </row>
    <row r="3" spans="1:18" x14ac:dyDescent="0.25">
      <c r="A3" s="3">
        <f t="shared" ref="A3:A29" si="0">D3/(1000*60*60*24)+25569+10/24</f>
        <v>44761.619247418981</v>
      </c>
      <c r="B3" s="8" t="str">
        <f>IF(AND(G3=21,H3=31),"→",IF(AND(G3=31,H3=21),"←","Error"))</f>
        <v>Error</v>
      </c>
      <c r="C3" s="11">
        <f>(D3-D2)/1000</f>
        <v>4.5910000000000002</v>
      </c>
      <c r="D3" s="2">
        <v>1658206302977</v>
      </c>
      <c r="E3" t="s">
        <v>0</v>
      </c>
      <c r="F3" s="1">
        <v>5</v>
      </c>
      <c r="G3" s="1">
        <v>21</v>
      </c>
      <c r="H3" s="1">
        <v>0</v>
      </c>
      <c r="I3" s="1">
        <v>19</v>
      </c>
      <c r="J3" s="1" t="s">
        <v>17</v>
      </c>
      <c r="K3" s="1" t="s">
        <v>113</v>
      </c>
      <c r="R3" t="e">
        <f t="shared" ref="R3:R29" si="1">IF(E3="Ok",_xlfn.SWITCH(I3,5,"FURNACE STATUS REPORT Fan:"&amp;IF(_xlfn.BITAND(HEX2DEC(K3),1),"1","0")&amp;" Ignition:"&amp;IF(_xlfn.BITAND(HEX2DEC(K3),2),"1","0")&amp;" Burner:"&amp;IF(_xlfn.BITAND(HEX2DEC(K3),4),"1","0")&amp;" Unknown:"&amp;DEC2HEX(_xlfn.BITAND(HEX2DEC(K3),248)),6,"FURNACE STATUS REQUEST",7,"TIME "&amp;HEX2DEC(J3)&amp;":"&amp;HEX2DEC(K3)&amp;" "&amp;CHOOSE(L3+1,"Mon","Tue","Wed","Thu","Fri","Sat","Sun"),9,"PING FURNACE","0B","TEMPERATURE INFO Set:"&amp;HEX2DEC(K3)&amp;" Actual:"&amp;HEX2DEC(L3)/2&amp;" Countdown:"&amp;HEX2DEC(N3),29,"LONG PING FURNACE","FB","FURNACE STATUS RESPONSE Fan:"&amp;IF(_xlfn.BITAND(HEX2DEC(K3),1),"1","0")&amp;" Ignition:"&amp;IF(_xlfn.BITAND(HEX2DEC(K3),2),"1","0")&amp;" Burner:"&amp;IF(_xlfn.BITAND(HEX2DEC(K3),4),"1","0")&amp;" Unknown:"&amp;DEC2HEX(_xlfn.BITAND(HEX2DEC(K3),248)),"FF","Ack"),"")</f>
        <v>#N/A</v>
      </c>
    </row>
    <row r="4" spans="1:18" x14ac:dyDescent="0.25">
      <c r="A4" s="3">
        <f t="shared" si="0"/>
        <v>44761.619248750001</v>
      </c>
      <c r="B4" s="8" t="str">
        <f t="shared" ref="B4:B29" si="2">IF(AND(G4=21,H4=31),"→",IF(AND(G4=31,H4=21),"←","Error"))</f>
        <v>←</v>
      </c>
      <c r="C4" s="11">
        <f t="shared" ref="C4:C29" si="3">(D4-D3)/1000</f>
        <v>0.115</v>
      </c>
      <c r="D4" s="2">
        <v>1658206303092</v>
      </c>
      <c r="E4" t="s">
        <v>0</v>
      </c>
      <c r="F4" s="1">
        <v>5</v>
      </c>
      <c r="G4" s="1">
        <v>31</v>
      </c>
      <c r="H4" s="1">
        <v>21</v>
      </c>
      <c r="I4" s="1">
        <v>1</v>
      </c>
      <c r="J4" s="1">
        <v>81</v>
      </c>
      <c r="K4" s="1" t="s">
        <v>64</v>
      </c>
      <c r="R4" t="e">
        <f t="shared" si="1"/>
        <v>#N/A</v>
      </c>
    </row>
    <row r="5" spans="1:18" x14ac:dyDescent="0.25">
      <c r="A5" s="3">
        <f t="shared" si="0"/>
        <v>44761.619249965275</v>
      </c>
      <c r="B5" s="8" t="str">
        <f t="shared" si="2"/>
        <v>→</v>
      </c>
      <c r="C5" s="11">
        <f t="shared" si="3"/>
        <v>0.105</v>
      </c>
      <c r="D5" s="2">
        <v>1658206303197</v>
      </c>
      <c r="E5" t="s">
        <v>0</v>
      </c>
      <c r="F5" s="1">
        <v>5</v>
      </c>
      <c r="G5" s="1">
        <v>21</v>
      </c>
      <c r="H5" s="1">
        <v>31</v>
      </c>
      <c r="I5" s="1" t="s">
        <v>6</v>
      </c>
      <c r="J5" s="1">
        <v>62</v>
      </c>
      <c r="K5" s="1">
        <v>95</v>
      </c>
      <c r="R5" t="str">
        <f t="shared" si="1"/>
        <v>Ack</v>
      </c>
    </row>
    <row r="6" spans="1:18" x14ac:dyDescent="0.25">
      <c r="A6" s="3">
        <f t="shared" si="0"/>
        <v>44761.619252060183</v>
      </c>
      <c r="B6" s="8" t="str">
        <f t="shared" si="2"/>
        <v>←</v>
      </c>
      <c r="C6" s="11">
        <f t="shared" si="3"/>
        <v>0.18099999999999999</v>
      </c>
      <c r="D6" s="2">
        <v>1658206303378</v>
      </c>
      <c r="E6" t="s">
        <v>0</v>
      </c>
      <c r="F6" s="1">
        <v>9</v>
      </c>
      <c r="G6" s="1">
        <v>31</v>
      </c>
      <c r="H6" s="1">
        <v>21</v>
      </c>
      <c r="I6" s="1">
        <v>5</v>
      </c>
      <c r="J6" s="1">
        <v>0</v>
      </c>
      <c r="K6" s="1">
        <v>0</v>
      </c>
      <c r="L6" s="1">
        <v>0</v>
      </c>
      <c r="M6" s="1">
        <v>0</v>
      </c>
      <c r="N6" s="1" t="s">
        <v>19</v>
      </c>
      <c r="O6" s="1" t="s">
        <v>20</v>
      </c>
      <c r="R6" t="str">
        <f t="shared" si="1"/>
        <v>FURNACE STATUS REPORT Fan:0 Ignition:0 Burner:0 Unknown:0</v>
      </c>
    </row>
    <row r="7" spans="1:18" x14ac:dyDescent="0.25">
      <c r="A7" s="3">
        <f t="shared" si="0"/>
        <v>44761.619252974539</v>
      </c>
      <c r="B7" s="8" t="str">
        <f t="shared" si="2"/>
        <v>→</v>
      </c>
      <c r="C7" s="11">
        <f t="shared" si="3"/>
        <v>7.9000000000000001E-2</v>
      </c>
      <c r="D7" s="2">
        <v>1658206303457</v>
      </c>
      <c r="E7" t="s">
        <v>0</v>
      </c>
      <c r="F7" s="1">
        <v>5</v>
      </c>
      <c r="G7" s="1">
        <v>21</v>
      </c>
      <c r="H7" s="1">
        <v>31</v>
      </c>
      <c r="I7" s="1" t="s">
        <v>6</v>
      </c>
      <c r="J7" s="1">
        <v>62</v>
      </c>
      <c r="K7" s="1">
        <v>95</v>
      </c>
      <c r="R7" t="str">
        <f t="shared" si="1"/>
        <v>Ack</v>
      </c>
    </row>
    <row r="8" spans="1:18" x14ac:dyDescent="0.25">
      <c r="A8" s="3">
        <f t="shared" si="0"/>
        <v>44761.619283518514</v>
      </c>
      <c r="B8" s="8" t="str">
        <f t="shared" si="2"/>
        <v>→</v>
      </c>
      <c r="C8" s="11">
        <f t="shared" si="3"/>
        <v>2.6389999999999998</v>
      </c>
      <c r="D8" s="2">
        <v>1658206306096</v>
      </c>
      <c r="E8" t="s">
        <v>0</v>
      </c>
      <c r="F8" s="1">
        <v>5</v>
      </c>
      <c r="G8" s="1">
        <v>21</v>
      </c>
      <c r="H8" s="1">
        <v>31</v>
      </c>
      <c r="I8" s="1">
        <v>8</v>
      </c>
      <c r="J8" s="1" t="s">
        <v>13</v>
      </c>
      <c r="K8" s="1" t="s">
        <v>66</v>
      </c>
      <c r="R8" t="e">
        <f t="shared" si="1"/>
        <v>#N/A</v>
      </c>
    </row>
    <row r="9" spans="1:18" x14ac:dyDescent="0.25">
      <c r="A9" s="3">
        <f t="shared" si="0"/>
        <v>44761.61928471065</v>
      </c>
      <c r="B9" s="8" t="str">
        <f t="shared" si="2"/>
        <v>←</v>
      </c>
      <c r="C9" s="11">
        <f t="shared" si="3"/>
        <v>0.10299999999999999</v>
      </c>
      <c r="D9" s="2">
        <v>1658206306199</v>
      </c>
      <c r="E9" t="s">
        <v>0</v>
      </c>
      <c r="F9" s="1">
        <v>5</v>
      </c>
      <c r="G9" s="1">
        <v>31</v>
      </c>
      <c r="H9" s="1">
        <v>21</v>
      </c>
      <c r="I9" s="1" t="s">
        <v>6</v>
      </c>
      <c r="J9" s="1">
        <v>3</v>
      </c>
      <c r="K9" s="1" t="s">
        <v>7</v>
      </c>
      <c r="R9" t="str">
        <f t="shared" si="1"/>
        <v>Ack</v>
      </c>
    </row>
    <row r="10" spans="1:18" x14ac:dyDescent="0.25">
      <c r="A10" s="3">
        <f t="shared" si="0"/>
        <v>44761.619285949077</v>
      </c>
      <c r="B10" s="8" t="str">
        <f t="shared" si="2"/>
        <v>→</v>
      </c>
      <c r="C10" s="11">
        <f t="shared" si="3"/>
        <v>0.107</v>
      </c>
      <c r="D10" s="2">
        <v>1658206306306</v>
      </c>
      <c r="E10" t="s">
        <v>0</v>
      </c>
      <c r="F10" s="1">
        <v>6</v>
      </c>
      <c r="G10" s="1">
        <v>21</v>
      </c>
      <c r="H10" s="1">
        <v>31</v>
      </c>
      <c r="I10" s="1" t="s">
        <v>34</v>
      </c>
      <c r="J10" s="1">
        <v>0</v>
      </c>
      <c r="K10" s="1" t="s">
        <v>64</v>
      </c>
      <c r="L10" s="1" t="s">
        <v>89</v>
      </c>
      <c r="R10" t="e">
        <f t="shared" si="1"/>
        <v>#N/A</v>
      </c>
    </row>
    <row r="11" spans="1:18" x14ac:dyDescent="0.25">
      <c r="A11" s="3">
        <f t="shared" si="0"/>
        <v>44761.61928721064</v>
      </c>
      <c r="B11" s="8" t="str">
        <f t="shared" si="2"/>
        <v>←</v>
      </c>
      <c r="C11" s="11">
        <f t="shared" si="3"/>
        <v>0.109</v>
      </c>
      <c r="D11" s="2">
        <v>1658206306415</v>
      </c>
      <c r="E11" t="s">
        <v>0</v>
      </c>
      <c r="F11" s="1">
        <v>5</v>
      </c>
      <c r="G11" s="1">
        <v>31</v>
      </c>
      <c r="H11" s="1">
        <v>21</v>
      </c>
      <c r="I11" s="1" t="s">
        <v>6</v>
      </c>
      <c r="J11" s="1">
        <v>3</v>
      </c>
      <c r="K11" s="1" t="s">
        <v>7</v>
      </c>
      <c r="R11" t="str">
        <f t="shared" si="1"/>
        <v>Ack</v>
      </c>
    </row>
    <row r="12" spans="1:18" x14ac:dyDescent="0.25">
      <c r="A12" s="3">
        <f t="shared" si="0"/>
        <v>44761.619288275462</v>
      </c>
      <c r="B12" s="8" t="str">
        <f t="shared" si="2"/>
        <v>→</v>
      </c>
      <c r="C12" s="11">
        <f t="shared" si="3"/>
        <v>9.1999999999999998E-2</v>
      </c>
      <c r="D12" s="2">
        <v>1658206306507</v>
      </c>
      <c r="E12" t="s">
        <v>0</v>
      </c>
      <c r="F12" s="1">
        <v>5</v>
      </c>
      <c r="G12" s="1">
        <v>21</v>
      </c>
      <c r="H12" s="1">
        <v>31</v>
      </c>
      <c r="I12" s="1">
        <v>6</v>
      </c>
      <c r="J12" s="1">
        <v>60</v>
      </c>
      <c r="K12" s="1">
        <v>83</v>
      </c>
      <c r="R12" t="str">
        <f t="shared" si="1"/>
        <v>FURNACE STATUS REQUEST</v>
      </c>
    </row>
    <row r="13" spans="1:18" x14ac:dyDescent="0.25">
      <c r="A13" s="3">
        <f t="shared" si="0"/>
        <v>44761.619290046299</v>
      </c>
      <c r="B13" s="8" t="str">
        <f t="shared" si="2"/>
        <v>←</v>
      </c>
      <c r="C13" s="11">
        <f t="shared" si="3"/>
        <v>0.153</v>
      </c>
      <c r="D13" s="2">
        <v>1658206306660</v>
      </c>
      <c r="E13" t="s">
        <v>0</v>
      </c>
      <c r="F13" s="1">
        <v>9</v>
      </c>
      <c r="G13" s="1">
        <v>31</v>
      </c>
      <c r="H13" s="1">
        <v>21</v>
      </c>
      <c r="I13" s="1" t="s">
        <v>1</v>
      </c>
      <c r="J13" s="1">
        <v>0</v>
      </c>
      <c r="K13" s="1">
        <v>0</v>
      </c>
      <c r="L13" s="1">
        <v>0</v>
      </c>
      <c r="M13" s="1">
        <v>0</v>
      </c>
      <c r="N13" s="1" t="s">
        <v>21</v>
      </c>
      <c r="O13" s="1" t="s">
        <v>22</v>
      </c>
      <c r="R13" t="str">
        <f t="shared" si="1"/>
        <v>FURNACE STATUS RESPONSE Fan:0 Ignition:0 Burner:0 Unknown:0</v>
      </c>
    </row>
    <row r="14" spans="1:18" x14ac:dyDescent="0.25">
      <c r="A14" s="3">
        <f t="shared" si="0"/>
        <v>44761.619906030093</v>
      </c>
      <c r="B14" s="8" t="str">
        <f t="shared" si="2"/>
        <v>→</v>
      </c>
      <c r="C14" s="11">
        <f t="shared" si="3"/>
        <v>53.220999999999997</v>
      </c>
      <c r="D14" s="2">
        <v>1658206359881</v>
      </c>
      <c r="E14" t="s">
        <v>0</v>
      </c>
      <c r="F14" s="1">
        <v>8</v>
      </c>
      <c r="G14" s="1">
        <v>21</v>
      </c>
      <c r="H14" s="1">
        <v>31</v>
      </c>
      <c r="I14" s="1">
        <v>7</v>
      </c>
      <c r="J14" s="1" t="s">
        <v>72</v>
      </c>
      <c r="K14" s="1" t="s">
        <v>54</v>
      </c>
      <c r="L14" s="1">
        <v>1</v>
      </c>
      <c r="M14" s="1" t="s">
        <v>55</v>
      </c>
      <c r="N14" s="1">
        <v>84</v>
      </c>
      <c r="R14" t="str">
        <f t="shared" si="1"/>
        <v>TIME 14:47 Tue</v>
      </c>
    </row>
    <row r="15" spans="1:18" x14ac:dyDescent="0.25">
      <c r="A15" s="3">
        <f t="shared" si="0"/>
        <v>44761.619907118053</v>
      </c>
      <c r="B15" s="8" t="str">
        <f t="shared" si="2"/>
        <v>←</v>
      </c>
      <c r="C15" s="11">
        <f t="shared" si="3"/>
        <v>9.4E-2</v>
      </c>
      <c r="D15" s="2">
        <v>1658206359975</v>
      </c>
      <c r="E15" t="s">
        <v>0</v>
      </c>
      <c r="F15" s="1">
        <v>5</v>
      </c>
      <c r="G15" s="1">
        <v>31</v>
      </c>
      <c r="H15" s="1">
        <v>21</v>
      </c>
      <c r="I15" s="1" t="s">
        <v>6</v>
      </c>
      <c r="J15" s="1">
        <v>3</v>
      </c>
      <c r="K15" s="1" t="s">
        <v>7</v>
      </c>
      <c r="R15" t="str">
        <f t="shared" si="1"/>
        <v>Ack</v>
      </c>
    </row>
    <row r="16" spans="1:18" x14ac:dyDescent="0.25">
      <c r="A16" s="3">
        <f t="shared" si="0"/>
        <v>44761.619908402776</v>
      </c>
      <c r="B16" s="8" t="str">
        <f t="shared" si="2"/>
        <v>→</v>
      </c>
      <c r="C16" s="11">
        <f t="shared" si="3"/>
        <v>0.111</v>
      </c>
      <c r="D16" s="2">
        <v>1658206360086</v>
      </c>
      <c r="E16" t="s">
        <v>0</v>
      </c>
      <c r="F16" s="1">
        <v>5</v>
      </c>
      <c r="G16" s="1">
        <v>21</v>
      </c>
      <c r="H16" s="1">
        <v>31</v>
      </c>
      <c r="I16" s="1">
        <v>8</v>
      </c>
      <c r="J16" s="1" t="s">
        <v>13</v>
      </c>
      <c r="K16" s="1" t="s">
        <v>66</v>
      </c>
      <c r="R16" t="e">
        <f t="shared" si="1"/>
        <v>#N/A</v>
      </c>
    </row>
    <row r="17" spans="1:18" x14ac:dyDescent="0.25">
      <c r="A17" s="3">
        <f t="shared" si="0"/>
        <v>44761.619909803238</v>
      </c>
      <c r="B17" s="8" t="str">
        <f t="shared" si="2"/>
        <v>←</v>
      </c>
      <c r="C17" s="11">
        <f t="shared" si="3"/>
        <v>0.121</v>
      </c>
      <c r="D17" s="2">
        <v>1658206360207</v>
      </c>
      <c r="E17" t="s">
        <v>0</v>
      </c>
      <c r="F17" s="1">
        <v>5</v>
      </c>
      <c r="G17" s="1">
        <v>31</v>
      </c>
      <c r="H17" s="1">
        <v>21</v>
      </c>
      <c r="I17" s="1" t="s">
        <v>6</v>
      </c>
      <c r="J17" s="1">
        <v>3</v>
      </c>
      <c r="K17" s="1" t="s">
        <v>7</v>
      </c>
      <c r="R17" t="str">
        <f t="shared" si="1"/>
        <v>Ack</v>
      </c>
    </row>
    <row r="18" spans="1:18" x14ac:dyDescent="0.25">
      <c r="A18" s="3">
        <f t="shared" si="0"/>
        <v>44761.619911122682</v>
      </c>
      <c r="B18" s="8" t="str">
        <f t="shared" si="2"/>
        <v>→</v>
      </c>
      <c r="C18" s="11">
        <f t="shared" si="3"/>
        <v>0.114</v>
      </c>
      <c r="D18" s="2">
        <v>1658206360321</v>
      </c>
      <c r="E18" t="s">
        <v>0</v>
      </c>
      <c r="F18" s="1">
        <v>6</v>
      </c>
      <c r="G18" s="1">
        <v>21</v>
      </c>
      <c r="H18" s="1">
        <v>31</v>
      </c>
      <c r="I18" s="1" t="s">
        <v>34</v>
      </c>
      <c r="J18" s="1">
        <v>0</v>
      </c>
      <c r="K18" s="1" t="s">
        <v>64</v>
      </c>
      <c r="L18" s="1" t="s">
        <v>89</v>
      </c>
      <c r="R18" t="e">
        <f t="shared" si="1"/>
        <v>#N/A</v>
      </c>
    </row>
    <row r="19" spans="1:18" x14ac:dyDescent="0.25">
      <c r="A19" s="3">
        <f t="shared" si="0"/>
        <v>44761.619912210641</v>
      </c>
      <c r="B19" s="8" t="str">
        <f t="shared" si="2"/>
        <v>←</v>
      </c>
      <c r="C19" s="11">
        <f t="shared" si="3"/>
        <v>9.4E-2</v>
      </c>
      <c r="D19" s="2">
        <v>1658206360415</v>
      </c>
      <c r="E19" t="s">
        <v>0</v>
      </c>
      <c r="F19" s="1">
        <v>5</v>
      </c>
      <c r="G19" s="1">
        <v>31</v>
      </c>
      <c r="H19" s="1">
        <v>21</v>
      </c>
      <c r="I19" s="1" t="s">
        <v>6</v>
      </c>
      <c r="J19" s="1">
        <v>3</v>
      </c>
      <c r="K19" s="1" t="s">
        <v>7</v>
      </c>
      <c r="R19" t="str">
        <f t="shared" si="1"/>
        <v>Ack</v>
      </c>
    </row>
    <row r="20" spans="1:18" x14ac:dyDescent="0.25">
      <c r="A20" s="3">
        <f t="shared" si="0"/>
        <v>44761.619913171293</v>
      </c>
      <c r="B20" s="8" t="str">
        <f t="shared" si="2"/>
        <v>→</v>
      </c>
      <c r="C20" s="11">
        <f t="shared" si="3"/>
        <v>8.3000000000000004E-2</v>
      </c>
      <c r="D20" s="2">
        <v>1658206360498</v>
      </c>
      <c r="E20" t="s">
        <v>0</v>
      </c>
      <c r="F20" s="1">
        <v>5</v>
      </c>
      <c r="G20" s="1">
        <v>21</v>
      </c>
      <c r="H20" s="1">
        <v>31</v>
      </c>
      <c r="I20" s="1">
        <v>6</v>
      </c>
      <c r="J20" s="1">
        <v>60</v>
      </c>
      <c r="K20" s="1">
        <v>83</v>
      </c>
      <c r="R20" t="str">
        <f t="shared" si="1"/>
        <v>FURNACE STATUS REQUEST</v>
      </c>
    </row>
    <row r="21" spans="1:18" x14ac:dyDescent="0.25">
      <c r="A21" s="3">
        <f t="shared" si="0"/>
        <v>44761.619914791663</v>
      </c>
      <c r="B21" s="8" t="str">
        <f t="shared" si="2"/>
        <v>←</v>
      </c>
      <c r="C21" s="11">
        <f t="shared" si="3"/>
        <v>0.14000000000000001</v>
      </c>
      <c r="D21" s="2">
        <v>1658206360638</v>
      </c>
      <c r="E21" t="s">
        <v>0</v>
      </c>
      <c r="F21" s="1">
        <v>9</v>
      </c>
      <c r="G21" s="1">
        <v>31</v>
      </c>
      <c r="H21" s="1">
        <v>21</v>
      </c>
      <c r="I21" s="1" t="s">
        <v>1</v>
      </c>
      <c r="J21" s="1">
        <v>0</v>
      </c>
      <c r="K21" s="1">
        <v>0</v>
      </c>
      <c r="L21" s="1">
        <v>0</v>
      </c>
      <c r="M21" s="1">
        <v>0</v>
      </c>
      <c r="N21" s="1" t="s">
        <v>21</v>
      </c>
      <c r="O21" s="1" t="s">
        <v>22</v>
      </c>
      <c r="R21" t="str">
        <f t="shared" si="1"/>
        <v>FURNACE STATUS RESPONSE Fan:0 Ignition:0 Burner:0 Unknown:0</v>
      </c>
    </row>
    <row r="22" spans="1:18" x14ac:dyDescent="0.25">
      <c r="A22" s="3">
        <f t="shared" si="0"/>
        <v>44761.620600532406</v>
      </c>
      <c r="B22" s="8" t="str">
        <f t="shared" si="2"/>
        <v>→</v>
      </c>
      <c r="C22" s="11">
        <f t="shared" si="3"/>
        <v>59.247999999999998</v>
      </c>
      <c r="D22" s="2">
        <v>1658206419886</v>
      </c>
      <c r="E22" t="s">
        <v>0</v>
      </c>
      <c r="F22" s="1">
        <v>8</v>
      </c>
      <c r="G22" s="1">
        <v>21</v>
      </c>
      <c r="H22" s="1">
        <v>31</v>
      </c>
      <c r="I22" s="1">
        <v>7</v>
      </c>
      <c r="J22" s="1" t="s">
        <v>72</v>
      </c>
      <c r="K22" s="1">
        <v>30</v>
      </c>
      <c r="L22" s="1">
        <v>1</v>
      </c>
      <c r="M22" s="1">
        <v>34</v>
      </c>
      <c r="N22" s="1">
        <v>87</v>
      </c>
      <c r="R22" t="str">
        <f t="shared" si="1"/>
        <v>TIME 14:48 Tue</v>
      </c>
    </row>
    <row r="23" spans="1:18" x14ac:dyDescent="0.25">
      <c r="A23" s="3">
        <f t="shared" si="0"/>
        <v>44761.620602083327</v>
      </c>
      <c r="B23" s="8" t="str">
        <f t="shared" si="2"/>
        <v>←</v>
      </c>
      <c r="C23" s="11">
        <f t="shared" si="3"/>
        <v>0.13400000000000001</v>
      </c>
      <c r="D23" s="2">
        <v>1658206420020</v>
      </c>
      <c r="E23" t="s">
        <v>0</v>
      </c>
      <c r="F23" s="1">
        <v>5</v>
      </c>
      <c r="G23" s="1">
        <v>31</v>
      </c>
      <c r="H23" s="1">
        <v>21</v>
      </c>
      <c r="I23" s="1" t="s">
        <v>6</v>
      </c>
      <c r="J23" s="1">
        <v>3</v>
      </c>
      <c r="K23" s="1" t="s">
        <v>7</v>
      </c>
      <c r="R23" t="str">
        <f t="shared" si="1"/>
        <v>Ack</v>
      </c>
    </row>
    <row r="24" spans="1:18" x14ac:dyDescent="0.25">
      <c r="A24" s="3">
        <f t="shared" si="0"/>
        <v>44761.620603217591</v>
      </c>
      <c r="B24" s="8" t="str">
        <f t="shared" si="2"/>
        <v>→</v>
      </c>
      <c r="C24" s="11">
        <f t="shared" si="3"/>
        <v>9.8000000000000004E-2</v>
      </c>
      <c r="D24" s="2">
        <v>1658206420118</v>
      </c>
      <c r="E24" t="s">
        <v>0</v>
      </c>
      <c r="F24" s="1">
        <v>5</v>
      </c>
      <c r="G24" s="1">
        <v>21</v>
      </c>
      <c r="H24" s="1">
        <v>31</v>
      </c>
      <c r="I24" s="1">
        <v>8</v>
      </c>
      <c r="J24" s="1" t="s">
        <v>13</v>
      </c>
      <c r="K24" s="1" t="s">
        <v>66</v>
      </c>
      <c r="R24" t="e">
        <f t="shared" si="1"/>
        <v>#N/A</v>
      </c>
    </row>
    <row r="25" spans="1:18" x14ac:dyDescent="0.25">
      <c r="A25" s="3">
        <f t="shared" si="0"/>
        <v>44761.620604421296</v>
      </c>
      <c r="B25" s="8" t="str">
        <f t="shared" si="2"/>
        <v>←</v>
      </c>
      <c r="C25" s="11">
        <f t="shared" si="3"/>
        <v>0.104</v>
      </c>
      <c r="D25" s="2">
        <v>1658206420222</v>
      </c>
      <c r="E25" t="s">
        <v>0</v>
      </c>
      <c r="F25" s="1">
        <v>5</v>
      </c>
      <c r="G25" s="1">
        <v>31</v>
      </c>
      <c r="H25" s="1">
        <v>21</v>
      </c>
      <c r="I25" s="1" t="s">
        <v>6</v>
      </c>
      <c r="J25" s="1">
        <v>3</v>
      </c>
      <c r="K25" s="1" t="s">
        <v>7</v>
      </c>
      <c r="R25" t="str">
        <f t="shared" si="1"/>
        <v>Ack</v>
      </c>
    </row>
    <row r="26" spans="1:18" x14ac:dyDescent="0.25">
      <c r="A26" s="3">
        <f t="shared" si="0"/>
        <v>44761.620605567128</v>
      </c>
      <c r="B26" s="8" t="str">
        <f t="shared" si="2"/>
        <v>→</v>
      </c>
      <c r="C26" s="11">
        <f t="shared" si="3"/>
        <v>9.9000000000000005E-2</v>
      </c>
      <c r="D26" s="2">
        <v>1658206420321</v>
      </c>
      <c r="E26" t="s">
        <v>0</v>
      </c>
      <c r="F26" s="1">
        <v>6</v>
      </c>
      <c r="G26" s="1">
        <v>21</v>
      </c>
      <c r="H26" s="1">
        <v>31</v>
      </c>
      <c r="I26" s="1" t="s">
        <v>34</v>
      </c>
      <c r="J26" s="1">
        <v>0</v>
      </c>
      <c r="K26" s="1" t="s">
        <v>64</v>
      </c>
      <c r="L26" s="1" t="s">
        <v>89</v>
      </c>
      <c r="R26" t="e">
        <f t="shared" si="1"/>
        <v>#N/A</v>
      </c>
    </row>
    <row r="27" spans="1:18" x14ac:dyDescent="0.25">
      <c r="A27" s="3">
        <f t="shared" si="0"/>
        <v>44761.620606863427</v>
      </c>
      <c r="B27" s="8" t="str">
        <f t="shared" si="2"/>
        <v>←</v>
      </c>
      <c r="C27" s="11">
        <f t="shared" si="3"/>
        <v>0.112</v>
      </c>
      <c r="D27" s="2">
        <v>1658206420433</v>
      </c>
      <c r="E27" t="s">
        <v>0</v>
      </c>
      <c r="F27" s="1">
        <v>5</v>
      </c>
      <c r="G27" s="1">
        <v>31</v>
      </c>
      <c r="H27" s="1">
        <v>21</v>
      </c>
      <c r="I27" s="1" t="s">
        <v>6</v>
      </c>
      <c r="J27" s="1">
        <v>3</v>
      </c>
      <c r="K27" s="1" t="s">
        <v>7</v>
      </c>
      <c r="R27" t="str">
        <f t="shared" si="1"/>
        <v>Ack</v>
      </c>
    </row>
    <row r="28" spans="1:18" x14ac:dyDescent="0.25">
      <c r="A28" s="3">
        <f t="shared" si="0"/>
        <v>44761.620607916666</v>
      </c>
      <c r="B28" s="8" t="str">
        <f t="shared" si="2"/>
        <v>→</v>
      </c>
      <c r="C28" s="11">
        <f t="shared" si="3"/>
        <v>9.0999999999999998E-2</v>
      </c>
      <c r="D28" s="2">
        <v>1658206420524</v>
      </c>
      <c r="E28" t="s">
        <v>0</v>
      </c>
      <c r="F28" s="1">
        <v>5</v>
      </c>
      <c r="G28" s="1">
        <v>21</v>
      </c>
      <c r="H28" s="1">
        <v>31</v>
      </c>
      <c r="I28" s="1">
        <v>6</v>
      </c>
      <c r="J28" s="1">
        <v>60</v>
      </c>
      <c r="K28" s="1">
        <v>83</v>
      </c>
      <c r="R28" t="str">
        <f t="shared" si="1"/>
        <v>FURNACE STATUS REQUEST</v>
      </c>
    </row>
    <row r="29" spans="1:18" x14ac:dyDescent="0.25">
      <c r="A29" s="3">
        <f t="shared" si="0"/>
        <v>44761.620609733793</v>
      </c>
      <c r="B29" s="8" t="str">
        <f t="shared" si="2"/>
        <v>←</v>
      </c>
      <c r="C29" s="11">
        <f t="shared" si="3"/>
        <v>0.157</v>
      </c>
      <c r="D29" s="2">
        <v>1658206420681</v>
      </c>
      <c r="E29" t="s">
        <v>0</v>
      </c>
      <c r="F29" s="1">
        <v>9</v>
      </c>
      <c r="G29" s="1">
        <v>31</v>
      </c>
      <c r="H29" s="1">
        <v>21</v>
      </c>
      <c r="I29" s="1" t="s">
        <v>1</v>
      </c>
      <c r="J29" s="1">
        <v>0</v>
      </c>
      <c r="K29" s="1">
        <v>0</v>
      </c>
      <c r="L29" s="1">
        <v>0</v>
      </c>
      <c r="M29" s="1">
        <v>0</v>
      </c>
      <c r="N29" s="1" t="s">
        <v>21</v>
      </c>
      <c r="O29" s="1" t="s">
        <v>22</v>
      </c>
      <c r="R29" t="str">
        <f t="shared" si="1"/>
        <v>FURNACE STATUS RESPONSE Fan:0 Ignition:0 Burner:0 Unknown:0</v>
      </c>
    </row>
  </sheetData>
  <autoFilter ref="A1:R13802" xr:uid="{1D9EE959-5D9F-401E-B357-6E0D9910D0BE}"/>
  <conditionalFormatting sqref="E1:E1048576 B1:C1048576">
    <cfRule type="cellIs" dxfId="27" priority="5" operator="equal">
      <formula>"Ok"</formula>
    </cfRule>
    <cfRule type="cellIs" dxfId="26" priority="6" operator="equal">
      <formula>"Er"</formula>
    </cfRule>
    <cfRule type="cellIs" dxfId="25" priority="7" operator="equal">
      <formula>"Ln"</formula>
    </cfRule>
  </conditionalFormatting>
  <conditionalFormatting sqref="I1:I1048576">
    <cfRule type="cellIs" dxfId="24" priority="4" operator="equal">
      <formula>7</formula>
    </cfRule>
  </conditionalFormatting>
  <conditionalFormatting sqref="B1:C1048576">
    <cfRule type="cellIs" dxfId="23" priority="2" operator="equal">
      <formula>"→"</formula>
    </cfRule>
    <cfRule type="cellIs" dxfId="22" priority="3" operator="equal">
      <formula>"←"</formula>
    </cfRule>
  </conditionalFormatting>
  <conditionalFormatting sqref="C1:C1048576">
    <cfRule type="cellIs" dxfId="21" priority="1" operator="greaterThan">
      <formula>1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F42B9-5C7C-4E1F-8EE5-833D2E6EF799}">
  <dimension ref="A1:R105"/>
  <sheetViews>
    <sheetView workbookViewId="0">
      <pane ySplit="1" topLeftCell="A2" activePane="bottomLeft" state="frozen"/>
      <selection pane="bottomLeft" activeCell="I8" sqref="I8"/>
    </sheetView>
  </sheetViews>
  <sheetFormatPr defaultRowHeight="15" x14ac:dyDescent="0.25"/>
  <cols>
    <col min="1" max="1" width="23.7109375" style="3" customWidth="1"/>
    <col min="2" max="2" width="9.140625" style="8"/>
    <col min="3" max="3" width="8.28515625" style="11" customWidth="1"/>
    <col min="4" max="4" width="24.42578125" style="2" customWidth="1"/>
    <col min="6" max="17" width="9.140625" style="1"/>
    <col min="18" max="18" width="31.7109375" bestFit="1" customWidth="1"/>
  </cols>
  <sheetData>
    <row r="1" spans="1:18" x14ac:dyDescent="0.25">
      <c r="A1" s="4" t="s">
        <v>75</v>
      </c>
      <c r="B1" s="9" t="s">
        <v>87</v>
      </c>
      <c r="C1" s="10" t="s">
        <v>77</v>
      </c>
      <c r="D1" s="5" t="s">
        <v>76</v>
      </c>
      <c r="E1" s="6" t="s">
        <v>78</v>
      </c>
      <c r="F1" s="7" t="s">
        <v>73</v>
      </c>
      <c r="G1" s="7" t="s">
        <v>79</v>
      </c>
      <c r="H1" s="7" t="s">
        <v>56</v>
      </c>
      <c r="I1" s="7" t="s">
        <v>80</v>
      </c>
      <c r="J1" s="7" t="s">
        <v>4</v>
      </c>
      <c r="K1" s="7" t="s">
        <v>81</v>
      </c>
      <c r="L1" s="7" t="s">
        <v>82</v>
      </c>
      <c r="M1" s="7" t="s">
        <v>83</v>
      </c>
      <c r="N1" s="7" t="s">
        <v>57</v>
      </c>
      <c r="O1" s="7" t="s">
        <v>84</v>
      </c>
      <c r="P1" s="7" t="s">
        <v>85</v>
      </c>
      <c r="Q1" s="7" t="s">
        <v>86</v>
      </c>
      <c r="R1" s="7" t="s">
        <v>115</v>
      </c>
    </row>
    <row r="2" spans="1:18" x14ac:dyDescent="0.25">
      <c r="A2" s="12">
        <f>D2/(1000*60*60*24)+25569+10/24</f>
        <v>44761.506010046294</v>
      </c>
      <c r="B2" s="8" t="str">
        <f>IF(AND(G2=21,H2=31),"→",IF(AND(G2=31,H2=21),"←","Error"))</f>
        <v>→</v>
      </c>
      <c r="D2" s="2">
        <v>1658196519268</v>
      </c>
      <c r="E2" t="s">
        <v>0</v>
      </c>
      <c r="F2" s="1">
        <v>8</v>
      </c>
      <c r="G2" s="1">
        <v>21</v>
      </c>
      <c r="H2" s="1">
        <v>31</v>
      </c>
      <c r="I2" s="1">
        <v>7</v>
      </c>
      <c r="J2" s="1" t="s">
        <v>68</v>
      </c>
      <c r="K2" s="1">
        <v>3</v>
      </c>
      <c r="L2" s="1">
        <v>1</v>
      </c>
      <c r="M2" s="1" t="s">
        <v>34</v>
      </c>
      <c r="N2" s="1" t="s">
        <v>59</v>
      </c>
      <c r="R2" t="str">
        <f>IF(E2="Ok",_xlfn.SWITCH(I2,5,"FURNACE STATUS REPORT Fan:"&amp;IF(_xlfn.BITAND(HEX2DEC(K2),1),"1","0")&amp;" Ignition:"&amp;IF(_xlfn.BITAND(HEX2DEC(K2),2),"1","0")&amp;" Burner:"&amp;IF(_xlfn.BITAND(HEX2DEC(K2),4),"1","0")&amp;" Unknown:"&amp;DEC2HEX(_xlfn.BITAND(HEX2DEC(K2),248)),6,"FURNACE STATUS REQUEST",7,"TIME "&amp;HEX2DEC(J2)&amp;":"&amp;HEX2DEC(K2)&amp;" "&amp;CHOOSE(L2+1,"Mon","Tue","Wed","Thu","Fri","Sat","Sun"),9,"PING FURNACE","0B","TEMPERATURE INFO Set:"&amp;HEX2DEC(K2)&amp;" Actual:"&amp;HEX2DEC(L2)/2&amp;" Countdown:"&amp;HEX2DEC(N2),29,"LONG PING FURNACE","FB","FURNACE STATUS RESPONSE Fan:"&amp;IF(_xlfn.BITAND(HEX2DEC(K2),1),"1","0")&amp;" Ignition:"&amp;IF(_xlfn.BITAND(HEX2DEC(K2),2),"1","0")&amp;" Burner:"&amp;IF(_xlfn.BITAND(HEX2DEC(K2),4),"1","0")&amp;" Unknown:"&amp;DEC2HEX(_xlfn.BITAND(HEX2DEC(K2),248)),"FF","Ack"),"")</f>
        <v>TIME 12:3 Tue</v>
      </c>
    </row>
    <row r="3" spans="1:18" x14ac:dyDescent="0.25">
      <c r="A3" s="3">
        <f t="shared" ref="A3:A66" si="0">D3/(1000*60*60*24)+25569+10/24</f>
        <v>44761.50601114583</v>
      </c>
      <c r="B3" s="8" t="str">
        <f>IF(AND(G3=21,H3=31),"→",IF(AND(G3=31,H3=21),"←","Error"))</f>
        <v>←</v>
      </c>
      <c r="C3" s="11">
        <f>(D3-D2)/1000</f>
        <v>9.5000000000000001E-2</v>
      </c>
      <c r="D3" s="2">
        <v>1658196519363</v>
      </c>
      <c r="E3" t="s">
        <v>0</v>
      </c>
      <c r="F3" s="1">
        <v>5</v>
      </c>
      <c r="G3" s="1">
        <v>31</v>
      </c>
      <c r="H3" s="1">
        <v>21</v>
      </c>
      <c r="I3" s="1" t="s">
        <v>6</v>
      </c>
      <c r="J3" s="1">
        <v>3</v>
      </c>
      <c r="K3" s="1" t="s">
        <v>7</v>
      </c>
      <c r="R3" t="str">
        <f t="shared" ref="R3:R66" si="1">IF(E3="Ok",_xlfn.SWITCH(I3,5,"FURNACE STATUS REPORT Fan:"&amp;IF(_xlfn.BITAND(HEX2DEC(K3),1),"1","0")&amp;" Ignition:"&amp;IF(_xlfn.BITAND(HEX2DEC(K3),2),"1","0")&amp;" Burner:"&amp;IF(_xlfn.BITAND(HEX2DEC(K3),4),"1","0")&amp;" Unknown:"&amp;DEC2HEX(_xlfn.BITAND(HEX2DEC(K3),248)),6,"FURNACE STATUS REQUEST",7,"TIME "&amp;HEX2DEC(J3)&amp;":"&amp;HEX2DEC(K3)&amp;" "&amp;CHOOSE(L3+1,"Mon","Tue","Wed","Thu","Fri","Sat","Sun"),9,"PING FURNACE","0B","TEMPERATURE INFO Set:"&amp;HEX2DEC(K3)&amp;" Actual:"&amp;HEX2DEC(L3)/2&amp;" Countdown:"&amp;HEX2DEC(N3),29,"LONG PING FURNACE","FB","FURNACE STATUS RESPONSE Fan:"&amp;IF(_xlfn.BITAND(HEX2DEC(K3),1),"1","0")&amp;" Ignition:"&amp;IF(_xlfn.BITAND(HEX2DEC(K3),2),"1","0")&amp;" Burner:"&amp;IF(_xlfn.BITAND(HEX2DEC(K3),4),"1","0")&amp;" Unknown:"&amp;DEC2HEX(_xlfn.BITAND(HEX2DEC(K3),248)),"FF","Ack"),"")</f>
        <v>Ack</v>
      </c>
    </row>
    <row r="4" spans="1:18" x14ac:dyDescent="0.25">
      <c r="A4" s="3">
        <f t="shared" si="0"/>
        <v>44761.506012129626</v>
      </c>
      <c r="B4" s="8" t="str">
        <f t="shared" ref="B4:B67" si="2">IF(AND(G4=21,H4=31),"→",IF(AND(G4=31,H4=21),"←","Error"))</f>
        <v>→</v>
      </c>
      <c r="C4" s="11">
        <f t="shared" ref="C4:C67" si="3">(D4-D3)/1000</f>
        <v>8.5000000000000006E-2</v>
      </c>
      <c r="D4" s="2">
        <v>1658196519448</v>
      </c>
      <c r="E4" t="s">
        <v>0</v>
      </c>
      <c r="F4" s="1">
        <v>5</v>
      </c>
      <c r="G4" s="1">
        <v>21</v>
      </c>
      <c r="H4" s="1">
        <v>31</v>
      </c>
      <c r="I4" s="1">
        <v>8</v>
      </c>
      <c r="J4" s="1" t="s">
        <v>13</v>
      </c>
      <c r="K4" s="1" t="s">
        <v>66</v>
      </c>
      <c r="R4" t="e">
        <f t="shared" si="1"/>
        <v>#N/A</v>
      </c>
    </row>
    <row r="5" spans="1:18" x14ac:dyDescent="0.25">
      <c r="A5" s="3">
        <f t="shared" si="0"/>
        <v>44761.506013298604</v>
      </c>
      <c r="B5" s="8" t="str">
        <f t="shared" si="2"/>
        <v>←</v>
      </c>
      <c r="C5" s="11">
        <f t="shared" si="3"/>
        <v>0.10100000000000001</v>
      </c>
      <c r="D5" s="2">
        <v>1658196519549</v>
      </c>
      <c r="E5" t="s">
        <v>0</v>
      </c>
      <c r="F5" s="1">
        <v>5</v>
      </c>
      <c r="G5" s="1">
        <v>31</v>
      </c>
      <c r="H5" s="1">
        <v>21</v>
      </c>
      <c r="I5" s="1" t="s">
        <v>6</v>
      </c>
      <c r="J5" s="1">
        <v>3</v>
      </c>
      <c r="K5" s="1" t="s">
        <v>7</v>
      </c>
      <c r="R5" t="str">
        <f t="shared" si="1"/>
        <v>Ack</v>
      </c>
    </row>
    <row r="6" spans="1:18" x14ac:dyDescent="0.25">
      <c r="A6" s="3">
        <f t="shared" si="0"/>
        <v>44761.506014398146</v>
      </c>
      <c r="B6" s="8" t="str">
        <f t="shared" si="2"/>
        <v>→</v>
      </c>
      <c r="C6" s="11">
        <f t="shared" si="3"/>
        <v>9.5000000000000001E-2</v>
      </c>
      <c r="D6" s="2">
        <v>1658196519644</v>
      </c>
      <c r="E6" t="s">
        <v>0</v>
      </c>
      <c r="F6" s="1">
        <v>6</v>
      </c>
      <c r="G6" s="1">
        <v>21</v>
      </c>
      <c r="H6" s="1">
        <v>31</v>
      </c>
      <c r="I6" s="1" t="s">
        <v>34</v>
      </c>
      <c r="J6" s="1">
        <v>0</v>
      </c>
      <c r="K6" s="1" t="s">
        <v>64</v>
      </c>
      <c r="L6" s="1" t="s">
        <v>89</v>
      </c>
      <c r="R6" t="e">
        <f t="shared" si="1"/>
        <v>#N/A</v>
      </c>
    </row>
    <row r="7" spans="1:18" x14ac:dyDescent="0.25">
      <c r="A7" s="3">
        <f t="shared" si="0"/>
        <v>44761.506015798608</v>
      </c>
      <c r="B7" s="8" t="str">
        <f t="shared" si="2"/>
        <v>←</v>
      </c>
      <c r="C7" s="11">
        <f t="shared" si="3"/>
        <v>0.121</v>
      </c>
      <c r="D7" s="2">
        <v>1658196519765</v>
      </c>
      <c r="E7" t="s">
        <v>0</v>
      </c>
      <c r="F7" s="1">
        <v>5</v>
      </c>
      <c r="G7" s="1">
        <v>31</v>
      </c>
      <c r="H7" s="1">
        <v>21</v>
      </c>
      <c r="I7" s="1" t="s">
        <v>6</v>
      </c>
      <c r="J7" s="1">
        <v>3</v>
      </c>
      <c r="K7" s="1" t="s">
        <v>7</v>
      </c>
      <c r="R7" t="str">
        <f t="shared" si="1"/>
        <v>Ack</v>
      </c>
    </row>
    <row r="8" spans="1:18" x14ac:dyDescent="0.25">
      <c r="A8" s="3">
        <f t="shared" si="0"/>
        <v>44761.506016874999</v>
      </c>
      <c r="B8" s="8" t="str">
        <f t="shared" si="2"/>
        <v>→</v>
      </c>
      <c r="C8" s="11">
        <f t="shared" si="3"/>
        <v>9.2999999999999999E-2</v>
      </c>
      <c r="D8" s="2">
        <v>1658196519858</v>
      </c>
      <c r="E8" t="s">
        <v>0</v>
      </c>
      <c r="F8" s="1">
        <v>5</v>
      </c>
      <c r="G8" s="1">
        <v>21</v>
      </c>
      <c r="H8" s="1">
        <v>31</v>
      </c>
      <c r="I8" s="1">
        <v>6</v>
      </c>
      <c r="J8" s="1">
        <v>60</v>
      </c>
      <c r="K8" s="1">
        <v>83</v>
      </c>
      <c r="R8" t="str">
        <f t="shared" si="1"/>
        <v>FURNACE STATUS REQUEST</v>
      </c>
    </row>
    <row r="9" spans="1:18" x14ac:dyDescent="0.25">
      <c r="A9" s="3">
        <f t="shared" si="0"/>
        <v>44761.506018449072</v>
      </c>
      <c r="B9" s="8" t="str">
        <f t="shared" si="2"/>
        <v>←</v>
      </c>
      <c r="C9" s="11">
        <f t="shared" si="3"/>
        <v>0.13600000000000001</v>
      </c>
      <c r="D9" s="2">
        <v>1658196519994</v>
      </c>
      <c r="E9" t="s">
        <v>0</v>
      </c>
      <c r="F9" s="1">
        <v>9</v>
      </c>
      <c r="G9" s="1">
        <v>31</v>
      </c>
      <c r="H9" s="1">
        <v>21</v>
      </c>
      <c r="I9" s="1" t="s">
        <v>1</v>
      </c>
      <c r="J9" s="1">
        <v>0</v>
      </c>
      <c r="K9" s="1">
        <v>0</v>
      </c>
      <c r="L9" s="1">
        <v>0</v>
      </c>
      <c r="M9" s="1">
        <v>0</v>
      </c>
      <c r="N9" s="1" t="s">
        <v>21</v>
      </c>
      <c r="O9" s="1" t="s">
        <v>22</v>
      </c>
      <c r="R9" t="str">
        <f t="shared" si="1"/>
        <v>FURNACE STATUS RESPONSE Fan:0 Ignition:0 Burner:0 Unknown:0</v>
      </c>
    </row>
    <row r="10" spans="1:18" x14ac:dyDescent="0.25">
      <c r="A10" s="3">
        <f t="shared" si="0"/>
        <v>44761.506704293977</v>
      </c>
      <c r="B10" s="8" t="str">
        <f t="shared" si="2"/>
        <v>→</v>
      </c>
      <c r="C10" s="11">
        <f t="shared" si="3"/>
        <v>59.256999999999998</v>
      </c>
      <c r="D10" s="2">
        <v>1658196579251</v>
      </c>
      <c r="E10" t="s">
        <v>0</v>
      </c>
      <c r="F10" s="1">
        <v>8</v>
      </c>
      <c r="G10" s="1">
        <v>21</v>
      </c>
      <c r="H10" s="1">
        <v>31</v>
      </c>
      <c r="I10" s="1">
        <v>7</v>
      </c>
      <c r="J10" s="1" t="s">
        <v>68</v>
      </c>
      <c r="K10" s="1">
        <v>4</v>
      </c>
      <c r="L10" s="1">
        <v>1</v>
      </c>
      <c r="M10" s="1" t="s">
        <v>65</v>
      </c>
      <c r="N10" s="1" t="s">
        <v>111</v>
      </c>
      <c r="R10" t="str">
        <f t="shared" si="1"/>
        <v>TIME 12:4 Tue</v>
      </c>
    </row>
    <row r="11" spans="1:18" x14ac:dyDescent="0.25">
      <c r="A11" s="3">
        <f t="shared" si="0"/>
        <v>44761.506705682863</v>
      </c>
      <c r="B11" s="8" t="str">
        <f t="shared" si="2"/>
        <v>←</v>
      </c>
      <c r="C11" s="11">
        <f t="shared" si="3"/>
        <v>0.12</v>
      </c>
      <c r="D11" s="2">
        <v>1658196579371</v>
      </c>
      <c r="E11" t="s">
        <v>0</v>
      </c>
      <c r="F11" s="1">
        <v>5</v>
      </c>
      <c r="G11" s="1">
        <v>31</v>
      </c>
      <c r="H11" s="1">
        <v>21</v>
      </c>
      <c r="I11" s="1" t="s">
        <v>6</v>
      </c>
      <c r="J11" s="1">
        <v>3</v>
      </c>
      <c r="K11" s="1" t="s">
        <v>7</v>
      </c>
      <c r="R11" t="str">
        <f t="shared" si="1"/>
        <v>Ack</v>
      </c>
    </row>
    <row r="12" spans="1:18" x14ac:dyDescent="0.25">
      <c r="A12" s="3">
        <f t="shared" si="0"/>
        <v>44761.50670690972</v>
      </c>
      <c r="B12" s="8" t="str">
        <f t="shared" si="2"/>
        <v>→</v>
      </c>
      <c r="C12" s="11">
        <f t="shared" si="3"/>
        <v>0.106</v>
      </c>
      <c r="D12" s="2">
        <v>1658196579477</v>
      </c>
      <c r="E12" t="s">
        <v>0</v>
      </c>
      <c r="F12" s="1">
        <v>5</v>
      </c>
      <c r="G12" s="1">
        <v>21</v>
      </c>
      <c r="H12" s="1">
        <v>31</v>
      </c>
      <c r="I12" s="1">
        <v>8</v>
      </c>
      <c r="J12" s="1" t="s">
        <v>13</v>
      </c>
      <c r="K12" s="1" t="s">
        <v>66</v>
      </c>
      <c r="R12" t="e">
        <f t="shared" si="1"/>
        <v>#N/A</v>
      </c>
    </row>
    <row r="13" spans="1:18" x14ac:dyDescent="0.25">
      <c r="A13" s="3">
        <f t="shared" si="0"/>
        <v>44761.50670795139</v>
      </c>
      <c r="B13" s="8" t="str">
        <f t="shared" si="2"/>
        <v>←</v>
      </c>
      <c r="C13" s="11">
        <f t="shared" si="3"/>
        <v>0.09</v>
      </c>
      <c r="D13" s="2">
        <v>1658196579567</v>
      </c>
      <c r="E13" t="s">
        <v>0</v>
      </c>
      <c r="F13" s="1">
        <v>5</v>
      </c>
      <c r="G13" s="1">
        <v>31</v>
      </c>
      <c r="H13" s="1">
        <v>21</v>
      </c>
      <c r="I13" s="1" t="s">
        <v>6</v>
      </c>
      <c r="J13" s="1">
        <v>3</v>
      </c>
      <c r="K13" s="1" t="s">
        <v>7</v>
      </c>
      <c r="R13" t="str">
        <f t="shared" si="1"/>
        <v>Ack</v>
      </c>
    </row>
    <row r="14" spans="1:18" x14ac:dyDescent="0.25">
      <c r="A14" s="3">
        <f t="shared" si="0"/>
        <v>44761.506709317131</v>
      </c>
      <c r="B14" s="8" t="str">
        <f t="shared" si="2"/>
        <v>→</v>
      </c>
      <c r="C14" s="11">
        <f t="shared" si="3"/>
        <v>0.11799999999999999</v>
      </c>
      <c r="D14" s="2">
        <v>1658196579685</v>
      </c>
      <c r="E14" t="s">
        <v>0</v>
      </c>
      <c r="F14" s="1">
        <v>6</v>
      </c>
      <c r="G14" s="1">
        <v>21</v>
      </c>
      <c r="H14" s="1">
        <v>31</v>
      </c>
      <c r="I14" s="1" t="s">
        <v>34</v>
      </c>
      <c r="J14" s="1">
        <v>0</v>
      </c>
      <c r="K14" s="1" t="s">
        <v>64</v>
      </c>
      <c r="L14" s="1" t="s">
        <v>89</v>
      </c>
      <c r="R14" t="e">
        <f t="shared" si="1"/>
        <v>#N/A</v>
      </c>
    </row>
    <row r="15" spans="1:18" x14ac:dyDescent="0.25">
      <c r="A15" s="3">
        <f t="shared" si="0"/>
        <v>44761.506710740738</v>
      </c>
      <c r="B15" s="8" t="str">
        <f t="shared" si="2"/>
        <v>←</v>
      </c>
      <c r="C15" s="11">
        <f t="shared" si="3"/>
        <v>0.123</v>
      </c>
      <c r="D15" s="2">
        <v>1658196579808</v>
      </c>
      <c r="E15" t="s">
        <v>0</v>
      </c>
      <c r="F15" s="1">
        <v>5</v>
      </c>
      <c r="G15" s="1">
        <v>31</v>
      </c>
      <c r="H15" s="1">
        <v>21</v>
      </c>
      <c r="I15" s="1" t="s">
        <v>6</v>
      </c>
      <c r="J15" s="1">
        <v>3</v>
      </c>
      <c r="K15" s="1" t="s">
        <v>7</v>
      </c>
      <c r="R15" t="str">
        <f t="shared" si="1"/>
        <v>Ack</v>
      </c>
    </row>
    <row r="16" spans="1:18" x14ac:dyDescent="0.25">
      <c r="A16" s="3">
        <f t="shared" si="0"/>
        <v>44761.506711759255</v>
      </c>
      <c r="B16" s="8" t="str">
        <f t="shared" si="2"/>
        <v>→</v>
      </c>
      <c r="C16" s="11">
        <f t="shared" si="3"/>
        <v>8.7999999999999995E-2</v>
      </c>
      <c r="D16" s="2">
        <v>1658196579896</v>
      </c>
      <c r="E16" t="s">
        <v>0</v>
      </c>
      <c r="F16" s="1">
        <v>5</v>
      </c>
      <c r="G16" s="1">
        <v>21</v>
      </c>
      <c r="H16" s="1">
        <v>31</v>
      </c>
      <c r="I16" s="1">
        <v>6</v>
      </c>
      <c r="J16" s="1">
        <v>60</v>
      </c>
      <c r="K16" s="1">
        <v>83</v>
      </c>
      <c r="R16" t="str">
        <f t="shared" si="1"/>
        <v>FURNACE STATUS REQUEST</v>
      </c>
    </row>
    <row r="17" spans="1:18" x14ac:dyDescent="0.25">
      <c r="A17" s="3">
        <f t="shared" si="0"/>
        <v>44761.506713819443</v>
      </c>
      <c r="B17" s="8" t="str">
        <f t="shared" si="2"/>
        <v>←</v>
      </c>
      <c r="C17" s="11">
        <f t="shared" si="3"/>
        <v>0.17799999999999999</v>
      </c>
      <c r="D17" s="2">
        <v>1658196580074</v>
      </c>
      <c r="E17" t="s">
        <v>0</v>
      </c>
      <c r="F17" s="1">
        <v>9</v>
      </c>
      <c r="G17" s="1">
        <v>31</v>
      </c>
      <c r="H17" s="1">
        <v>21</v>
      </c>
      <c r="I17" s="1" t="s">
        <v>1</v>
      </c>
      <c r="J17" s="1">
        <v>0</v>
      </c>
      <c r="K17" s="1">
        <v>0</v>
      </c>
      <c r="L17" s="1">
        <v>0</v>
      </c>
      <c r="M17" s="1">
        <v>0</v>
      </c>
      <c r="N17" s="1" t="s">
        <v>21</v>
      </c>
      <c r="O17" s="1" t="s">
        <v>22</v>
      </c>
      <c r="R17" t="str">
        <f t="shared" si="1"/>
        <v>FURNACE STATUS RESPONSE Fan:0 Ignition:0 Burner:0 Unknown:0</v>
      </c>
    </row>
    <row r="18" spans="1:18" x14ac:dyDescent="0.25">
      <c r="A18" s="3">
        <f t="shared" si="0"/>
        <v>44761.507398888883</v>
      </c>
      <c r="B18" s="8" t="str">
        <f t="shared" si="2"/>
        <v>→</v>
      </c>
      <c r="C18" s="11">
        <f t="shared" si="3"/>
        <v>59.19</v>
      </c>
      <c r="D18" s="2">
        <v>1658196639264</v>
      </c>
      <c r="E18" t="s">
        <v>0</v>
      </c>
      <c r="F18" s="1">
        <v>8</v>
      </c>
      <c r="G18" s="1">
        <v>21</v>
      </c>
      <c r="H18" s="1">
        <v>31</v>
      </c>
      <c r="I18" s="1">
        <v>7</v>
      </c>
      <c r="J18" s="1" t="s">
        <v>68</v>
      </c>
      <c r="K18" s="1">
        <v>5</v>
      </c>
      <c r="L18" s="1">
        <v>1</v>
      </c>
      <c r="M18" s="1" t="s">
        <v>9</v>
      </c>
      <c r="N18" s="1" t="s">
        <v>59</v>
      </c>
      <c r="R18" t="str">
        <f t="shared" si="1"/>
        <v>TIME 12:5 Tue</v>
      </c>
    </row>
    <row r="19" spans="1:18" x14ac:dyDescent="0.25">
      <c r="A19" s="3">
        <f t="shared" si="0"/>
        <v>44761.50740008102</v>
      </c>
      <c r="B19" s="8" t="str">
        <f t="shared" si="2"/>
        <v>←</v>
      </c>
      <c r="C19" s="11">
        <f t="shared" si="3"/>
        <v>0.10299999999999999</v>
      </c>
      <c r="D19" s="2">
        <v>1658196639367</v>
      </c>
      <c r="E19" t="s">
        <v>0</v>
      </c>
      <c r="F19" s="1">
        <v>5</v>
      </c>
      <c r="G19" s="1">
        <v>31</v>
      </c>
      <c r="H19" s="1">
        <v>21</v>
      </c>
      <c r="I19" s="1" t="s">
        <v>6</v>
      </c>
      <c r="J19" s="1">
        <v>3</v>
      </c>
      <c r="K19" s="1" t="s">
        <v>7</v>
      </c>
      <c r="R19" t="str">
        <f t="shared" si="1"/>
        <v>Ack</v>
      </c>
    </row>
    <row r="20" spans="1:18" x14ac:dyDescent="0.25">
      <c r="A20" s="3">
        <f t="shared" si="0"/>
        <v>44761.507401423609</v>
      </c>
      <c r="B20" s="8" t="str">
        <f t="shared" si="2"/>
        <v>→</v>
      </c>
      <c r="C20" s="11">
        <f t="shared" si="3"/>
        <v>0.11600000000000001</v>
      </c>
      <c r="D20" s="2">
        <v>1658196639483</v>
      </c>
      <c r="E20" t="s">
        <v>0</v>
      </c>
      <c r="F20" s="1">
        <v>5</v>
      </c>
      <c r="G20" s="1">
        <v>21</v>
      </c>
      <c r="H20" s="1">
        <v>31</v>
      </c>
      <c r="I20" s="1">
        <v>8</v>
      </c>
      <c r="J20" s="1" t="s">
        <v>13</v>
      </c>
      <c r="K20" s="1" t="s">
        <v>66</v>
      </c>
      <c r="R20" t="e">
        <f t="shared" si="1"/>
        <v>#N/A</v>
      </c>
    </row>
    <row r="21" spans="1:18" x14ac:dyDescent="0.25">
      <c r="A21" s="3">
        <f t="shared" si="0"/>
        <v>44761.507402754629</v>
      </c>
      <c r="B21" s="8" t="str">
        <f t="shared" si="2"/>
        <v>←</v>
      </c>
      <c r="C21" s="11">
        <f t="shared" si="3"/>
        <v>0.115</v>
      </c>
      <c r="D21" s="2">
        <v>1658196639598</v>
      </c>
      <c r="E21" t="s">
        <v>0</v>
      </c>
      <c r="F21" s="1">
        <v>5</v>
      </c>
      <c r="G21" s="1">
        <v>31</v>
      </c>
      <c r="H21" s="1">
        <v>21</v>
      </c>
      <c r="I21" s="1" t="s">
        <v>6</v>
      </c>
      <c r="J21" s="1">
        <v>3</v>
      </c>
      <c r="K21" s="1" t="s">
        <v>7</v>
      </c>
      <c r="R21" t="str">
        <f t="shared" si="1"/>
        <v>Ack</v>
      </c>
    </row>
    <row r="22" spans="1:18" x14ac:dyDescent="0.25">
      <c r="A22" s="3">
        <f t="shared" si="0"/>
        <v>44761.507403877309</v>
      </c>
      <c r="B22" s="8" t="str">
        <f t="shared" si="2"/>
        <v>→</v>
      </c>
      <c r="C22" s="11">
        <f t="shared" si="3"/>
        <v>9.7000000000000003E-2</v>
      </c>
      <c r="D22" s="2">
        <v>1658196639695</v>
      </c>
      <c r="E22" t="s">
        <v>0</v>
      </c>
      <c r="F22" s="1">
        <v>6</v>
      </c>
      <c r="G22" s="1">
        <v>21</v>
      </c>
      <c r="H22" s="1">
        <v>31</v>
      </c>
      <c r="I22" s="1" t="s">
        <v>34</v>
      </c>
      <c r="J22" s="1">
        <v>0</v>
      </c>
      <c r="K22" s="1" t="s">
        <v>64</v>
      </c>
      <c r="L22" s="1" t="s">
        <v>89</v>
      </c>
      <c r="R22" t="e">
        <f t="shared" si="1"/>
        <v>#N/A</v>
      </c>
    </row>
    <row r="23" spans="1:18" x14ac:dyDescent="0.25">
      <c r="A23" s="3">
        <f t="shared" si="0"/>
        <v>44761.50740519676</v>
      </c>
      <c r="B23" s="8" t="str">
        <f t="shared" si="2"/>
        <v>←</v>
      </c>
      <c r="C23" s="11">
        <f t="shared" si="3"/>
        <v>0.114</v>
      </c>
      <c r="D23" s="2">
        <v>1658196639809</v>
      </c>
      <c r="E23" t="s">
        <v>0</v>
      </c>
      <c r="F23" s="1">
        <v>5</v>
      </c>
      <c r="G23" s="1">
        <v>31</v>
      </c>
      <c r="H23" s="1">
        <v>21</v>
      </c>
      <c r="I23" s="1" t="s">
        <v>6</v>
      </c>
      <c r="J23" s="1">
        <v>3</v>
      </c>
      <c r="K23" s="1" t="s">
        <v>7</v>
      </c>
      <c r="R23" t="str">
        <f t="shared" si="1"/>
        <v>Ack</v>
      </c>
    </row>
    <row r="24" spans="1:18" x14ac:dyDescent="0.25">
      <c r="A24" s="3">
        <f t="shared" si="0"/>
        <v>44761.507406273151</v>
      </c>
      <c r="B24" s="8" t="str">
        <f t="shared" si="2"/>
        <v>→</v>
      </c>
      <c r="C24" s="11">
        <f t="shared" si="3"/>
        <v>9.2999999999999999E-2</v>
      </c>
      <c r="D24" s="2">
        <v>1658196639902</v>
      </c>
      <c r="E24" t="s">
        <v>0</v>
      </c>
      <c r="F24" s="1">
        <v>5</v>
      </c>
      <c r="G24" s="1">
        <v>21</v>
      </c>
      <c r="H24" s="1">
        <v>31</v>
      </c>
      <c r="I24" s="1">
        <v>6</v>
      </c>
      <c r="J24" s="1">
        <v>60</v>
      </c>
      <c r="K24" s="1">
        <v>83</v>
      </c>
      <c r="R24" t="str">
        <f t="shared" si="1"/>
        <v>FURNACE STATUS REQUEST</v>
      </c>
    </row>
    <row r="25" spans="1:18" x14ac:dyDescent="0.25">
      <c r="A25" s="3">
        <f t="shared" si="0"/>
        <v>44761.507408067126</v>
      </c>
      <c r="B25" s="8" t="str">
        <f t="shared" si="2"/>
        <v>←</v>
      </c>
      <c r="C25" s="11">
        <f t="shared" si="3"/>
        <v>0.155</v>
      </c>
      <c r="D25" s="2">
        <v>1658196640057</v>
      </c>
      <c r="E25" t="s">
        <v>0</v>
      </c>
      <c r="F25" s="1">
        <v>9</v>
      </c>
      <c r="G25" s="1">
        <v>31</v>
      </c>
      <c r="H25" s="1">
        <v>21</v>
      </c>
      <c r="I25" s="1" t="s">
        <v>1</v>
      </c>
      <c r="J25" s="1">
        <v>0</v>
      </c>
      <c r="K25" s="1">
        <v>0</v>
      </c>
      <c r="L25" s="1">
        <v>0</v>
      </c>
      <c r="M25" s="1">
        <v>0</v>
      </c>
      <c r="N25" s="1" t="s">
        <v>21</v>
      </c>
      <c r="O25" s="1" t="s">
        <v>22</v>
      </c>
      <c r="R25" t="str">
        <f t="shared" si="1"/>
        <v>FURNACE STATUS RESPONSE Fan:0 Ignition:0 Burner:0 Unknown:0</v>
      </c>
    </row>
    <row r="26" spans="1:18" x14ac:dyDescent="0.25">
      <c r="A26" s="3">
        <f t="shared" si="0"/>
        <v>44761.508093576391</v>
      </c>
      <c r="B26" s="8" t="str">
        <f t="shared" si="2"/>
        <v>→</v>
      </c>
      <c r="C26" s="11">
        <f t="shared" si="3"/>
        <v>59.228000000000002</v>
      </c>
      <c r="D26" s="2">
        <v>1658196699285</v>
      </c>
      <c r="E26" t="s">
        <v>0</v>
      </c>
      <c r="F26" s="1">
        <v>8</v>
      </c>
      <c r="G26" s="1">
        <v>21</v>
      </c>
      <c r="H26" s="1">
        <v>31</v>
      </c>
      <c r="I26" s="1">
        <v>7</v>
      </c>
      <c r="J26" s="1" t="s">
        <v>68</v>
      </c>
      <c r="K26" s="1">
        <v>6</v>
      </c>
      <c r="L26" s="1">
        <v>1</v>
      </c>
      <c r="M26" s="1">
        <v>0</v>
      </c>
      <c r="N26" s="1" t="s">
        <v>59</v>
      </c>
      <c r="R26" t="str">
        <f t="shared" si="1"/>
        <v>TIME 12:6 Tue</v>
      </c>
    </row>
    <row r="27" spans="1:18" x14ac:dyDescent="0.25">
      <c r="A27" s="3">
        <f t="shared" si="0"/>
        <v>44761.508094999997</v>
      </c>
      <c r="B27" s="8" t="str">
        <f t="shared" si="2"/>
        <v>←</v>
      </c>
      <c r="C27" s="11">
        <f t="shared" si="3"/>
        <v>0.123</v>
      </c>
      <c r="D27" s="2">
        <v>1658196699408</v>
      </c>
      <c r="E27" t="s">
        <v>0</v>
      </c>
      <c r="F27" s="1">
        <v>5</v>
      </c>
      <c r="G27" s="1">
        <v>31</v>
      </c>
      <c r="H27" s="1">
        <v>21</v>
      </c>
      <c r="I27" s="1" t="s">
        <v>6</v>
      </c>
      <c r="J27" s="1">
        <v>3</v>
      </c>
      <c r="K27" s="1" t="s">
        <v>7</v>
      </c>
      <c r="R27" t="str">
        <f t="shared" si="1"/>
        <v>Ack</v>
      </c>
    </row>
    <row r="28" spans="1:18" x14ac:dyDescent="0.25">
      <c r="A28" s="3">
        <f t="shared" si="0"/>
        <v>44761.508096076388</v>
      </c>
      <c r="B28" s="8" t="str">
        <f t="shared" si="2"/>
        <v>→</v>
      </c>
      <c r="C28" s="11">
        <f t="shared" si="3"/>
        <v>9.2999999999999999E-2</v>
      </c>
      <c r="D28" s="2">
        <v>1658196699501</v>
      </c>
      <c r="E28" t="s">
        <v>0</v>
      </c>
      <c r="F28" s="1">
        <v>5</v>
      </c>
      <c r="G28" s="1">
        <v>21</v>
      </c>
      <c r="H28" s="1">
        <v>31</v>
      </c>
      <c r="I28" s="1">
        <v>8</v>
      </c>
      <c r="J28" s="1" t="s">
        <v>13</v>
      </c>
      <c r="K28" s="1" t="s">
        <v>66</v>
      </c>
      <c r="R28" t="e">
        <f t="shared" si="1"/>
        <v>#N/A</v>
      </c>
    </row>
    <row r="29" spans="1:18" x14ac:dyDescent="0.25">
      <c r="A29" s="3">
        <f t="shared" si="0"/>
        <v>44761.508097418984</v>
      </c>
      <c r="B29" s="8" t="str">
        <f t="shared" si="2"/>
        <v>←</v>
      </c>
      <c r="C29" s="11">
        <f t="shared" si="3"/>
        <v>0.11600000000000001</v>
      </c>
      <c r="D29" s="2">
        <v>1658196699617</v>
      </c>
      <c r="E29" t="s">
        <v>0</v>
      </c>
      <c r="F29" s="1">
        <v>5</v>
      </c>
      <c r="G29" s="1">
        <v>31</v>
      </c>
      <c r="H29" s="1">
        <v>21</v>
      </c>
      <c r="I29" s="1" t="s">
        <v>6</v>
      </c>
      <c r="J29" s="1">
        <v>3</v>
      </c>
      <c r="K29" s="1" t="s">
        <v>7</v>
      </c>
      <c r="R29" t="str">
        <f t="shared" si="1"/>
        <v>Ack</v>
      </c>
    </row>
    <row r="30" spans="1:18" x14ac:dyDescent="0.25">
      <c r="A30" s="3">
        <f t="shared" si="0"/>
        <v>44761.508098634258</v>
      </c>
      <c r="B30" s="8" t="str">
        <f t="shared" si="2"/>
        <v>→</v>
      </c>
      <c r="C30" s="11">
        <f t="shared" si="3"/>
        <v>0.105</v>
      </c>
      <c r="D30" s="2">
        <v>1658196699722</v>
      </c>
      <c r="E30" t="s">
        <v>0</v>
      </c>
      <c r="F30" s="1">
        <v>6</v>
      </c>
      <c r="G30" s="1">
        <v>21</v>
      </c>
      <c r="H30" s="1">
        <v>31</v>
      </c>
      <c r="I30" s="1" t="s">
        <v>34</v>
      </c>
      <c r="J30" s="1">
        <v>0</v>
      </c>
      <c r="K30" s="1" t="s">
        <v>64</v>
      </c>
      <c r="L30" s="1" t="s">
        <v>89</v>
      </c>
      <c r="R30" t="e">
        <f t="shared" si="1"/>
        <v>#N/A</v>
      </c>
    </row>
    <row r="31" spans="1:18" x14ac:dyDescent="0.25">
      <c r="A31" s="3">
        <f t="shared" si="0"/>
        <v>44761.508099837964</v>
      </c>
      <c r="B31" s="8" t="str">
        <f t="shared" si="2"/>
        <v>←</v>
      </c>
      <c r="C31" s="11">
        <f t="shared" si="3"/>
        <v>0.104</v>
      </c>
      <c r="D31" s="2">
        <v>1658196699826</v>
      </c>
      <c r="E31" t="s">
        <v>0</v>
      </c>
      <c r="F31" s="1">
        <v>5</v>
      </c>
      <c r="G31" s="1">
        <v>31</v>
      </c>
      <c r="H31" s="1">
        <v>21</v>
      </c>
      <c r="I31" s="1" t="s">
        <v>6</v>
      </c>
      <c r="J31" s="1">
        <v>3</v>
      </c>
      <c r="K31" s="1" t="s">
        <v>7</v>
      </c>
      <c r="R31" t="str">
        <f t="shared" si="1"/>
        <v>Ack</v>
      </c>
    </row>
    <row r="32" spans="1:18" x14ac:dyDescent="0.25">
      <c r="A32" s="3">
        <f t="shared" si="0"/>
        <v>44761.50810082176</v>
      </c>
      <c r="B32" s="8" t="str">
        <f t="shared" si="2"/>
        <v>→</v>
      </c>
      <c r="C32" s="11">
        <f t="shared" si="3"/>
        <v>8.5000000000000006E-2</v>
      </c>
      <c r="D32" s="2">
        <v>1658196699911</v>
      </c>
      <c r="E32" t="s">
        <v>0</v>
      </c>
      <c r="F32" s="1">
        <v>5</v>
      </c>
      <c r="G32" s="1">
        <v>21</v>
      </c>
      <c r="H32" s="1">
        <v>31</v>
      </c>
      <c r="I32" s="1">
        <v>6</v>
      </c>
      <c r="J32" s="1">
        <v>60</v>
      </c>
      <c r="K32" s="1">
        <v>83</v>
      </c>
      <c r="R32" t="str">
        <f t="shared" si="1"/>
        <v>FURNACE STATUS REQUEST</v>
      </c>
    </row>
    <row r="33" spans="1:18" x14ac:dyDescent="0.25">
      <c r="A33" s="3">
        <f t="shared" si="0"/>
        <v>44761.508102731481</v>
      </c>
      <c r="B33" s="8" t="str">
        <f t="shared" si="2"/>
        <v>←</v>
      </c>
      <c r="C33" s="11">
        <f t="shared" si="3"/>
        <v>0.16500000000000001</v>
      </c>
      <c r="D33" s="2">
        <v>1658196700076</v>
      </c>
      <c r="E33" t="s">
        <v>0</v>
      </c>
      <c r="F33" s="1">
        <v>9</v>
      </c>
      <c r="G33" s="1">
        <v>31</v>
      </c>
      <c r="H33" s="1">
        <v>21</v>
      </c>
      <c r="I33" s="1" t="s">
        <v>1</v>
      </c>
      <c r="J33" s="1">
        <v>0</v>
      </c>
      <c r="K33" s="1">
        <v>0</v>
      </c>
      <c r="L33" s="1">
        <v>0</v>
      </c>
      <c r="M33" s="1">
        <v>0</v>
      </c>
      <c r="N33" s="1" t="s">
        <v>21</v>
      </c>
      <c r="O33" s="1" t="s">
        <v>22</v>
      </c>
      <c r="R33" t="str">
        <f t="shared" si="1"/>
        <v>FURNACE STATUS RESPONSE Fan:0 Ignition:0 Burner:0 Unknown:0</v>
      </c>
    </row>
    <row r="34" spans="1:18" x14ac:dyDescent="0.25">
      <c r="A34" s="3">
        <f t="shared" si="0"/>
        <v>44761.50879537037</v>
      </c>
      <c r="B34" s="8" t="str">
        <f t="shared" si="2"/>
        <v>→</v>
      </c>
      <c r="C34" s="11">
        <f t="shared" si="3"/>
        <v>59.844000000000001</v>
      </c>
      <c r="D34" s="2">
        <v>1658196759920</v>
      </c>
      <c r="E34" t="s">
        <v>0</v>
      </c>
      <c r="F34" s="1">
        <v>8</v>
      </c>
      <c r="G34" s="1">
        <v>21</v>
      </c>
      <c r="H34" s="1">
        <v>31</v>
      </c>
      <c r="I34" s="1">
        <v>7</v>
      </c>
      <c r="J34" s="1" t="s">
        <v>68</v>
      </c>
      <c r="K34" s="1">
        <v>7</v>
      </c>
      <c r="L34" s="1">
        <v>1</v>
      </c>
      <c r="M34" s="1">
        <v>86</v>
      </c>
      <c r="N34" s="1" t="s">
        <v>111</v>
      </c>
      <c r="R34" t="str">
        <f t="shared" si="1"/>
        <v>TIME 12:7 Tue</v>
      </c>
    </row>
    <row r="35" spans="1:18" x14ac:dyDescent="0.25">
      <c r="A35" s="3">
        <f t="shared" si="0"/>
        <v>44761.508795486108</v>
      </c>
      <c r="B35" s="8" t="str">
        <f t="shared" si="2"/>
        <v>←</v>
      </c>
      <c r="C35" s="11">
        <f t="shared" si="3"/>
        <v>0.01</v>
      </c>
      <c r="D35" s="2">
        <v>1658196759930</v>
      </c>
      <c r="E35" t="s">
        <v>0</v>
      </c>
      <c r="F35" s="1">
        <v>5</v>
      </c>
      <c r="G35" s="1">
        <v>31</v>
      </c>
      <c r="H35" s="1">
        <v>21</v>
      </c>
      <c r="I35" s="1" t="s">
        <v>6</v>
      </c>
      <c r="J35" s="1">
        <v>3</v>
      </c>
      <c r="K35" s="1" t="s">
        <v>7</v>
      </c>
      <c r="R35" t="str">
        <f t="shared" si="1"/>
        <v>Ack</v>
      </c>
    </row>
    <row r="36" spans="1:18" x14ac:dyDescent="0.25">
      <c r="A36" s="3">
        <f t="shared" si="0"/>
        <v>44761.508795567126</v>
      </c>
      <c r="B36" s="8" t="str">
        <f t="shared" si="2"/>
        <v>→</v>
      </c>
      <c r="C36" s="11">
        <f t="shared" si="3"/>
        <v>7.0000000000000001E-3</v>
      </c>
      <c r="D36" s="2">
        <v>1658196759937</v>
      </c>
      <c r="E36" t="s">
        <v>0</v>
      </c>
      <c r="F36" s="1">
        <v>5</v>
      </c>
      <c r="G36" s="1">
        <v>21</v>
      </c>
      <c r="H36" s="1">
        <v>31</v>
      </c>
      <c r="I36" s="1">
        <v>8</v>
      </c>
      <c r="J36" s="1" t="s">
        <v>13</v>
      </c>
      <c r="K36" s="1" t="s">
        <v>66</v>
      </c>
      <c r="R36" t="e">
        <f t="shared" si="1"/>
        <v>#N/A</v>
      </c>
    </row>
    <row r="37" spans="1:18" x14ac:dyDescent="0.25">
      <c r="A37" s="3">
        <f t="shared" si="0"/>
        <v>44761.508795671289</v>
      </c>
      <c r="B37" s="8" t="str">
        <f t="shared" si="2"/>
        <v>←</v>
      </c>
      <c r="C37" s="11">
        <f t="shared" si="3"/>
        <v>8.9999999999999993E-3</v>
      </c>
      <c r="D37" s="2">
        <v>1658196759946</v>
      </c>
      <c r="E37" t="s">
        <v>0</v>
      </c>
      <c r="F37" s="1">
        <v>5</v>
      </c>
      <c r="G37" s="1">
        <v>31</v>
      </c>
      <c r="H37" s="1">
        <v>21</v>
      </c>
      <c r="I37" s="1" t="s">
        <v>6</v>
      </c>
      <c r="J37" s="1">
        <v>3</v>
      </c>
      <c r="K37" s="1" t="s">
        <v>7</v>
      </c>
      <c r="R37" t="str">
        <f t="shared" si="1"/>
        <v>Ack</v>
      </c>
    </row>
    <row r="38" spans="1:18" x14ac:dyDescent="0.25">
      <c r="A38" s="3">
        <f t="shared" si="0"/>
        <v>44761.508795740738</v>
      </c>
      <c r="B38" s="8" t="str">
        <f t="shared" si="2"/>
        <v>→</v>
      </c>
      <c r="C38" s="11">
        <f t="shared" si="3"/>
        <v>6.0000000000000001E-3</v>
      </c>
      <c r="D38" s="2">
        <v>1658196759952</v>
      </c>
      <c r="E38" t="s">
        <v>0</v>
      </c>
      <c r="F38" s="1">
        <v>6</v>
      </c>
      <c r="G38" s="1">
        <v>21</v>
      </c>
      <c r="H38" s="1">
        <v>31</v>
      </c>
      <c r="I38" s="1" t="s">
        <v>34</v>
      </c>
      <c r="J38" s="1">
        <v>0</v>
      </c>
      <c r="K38" s="1" t="s">
        <v>64</v>
      </c>
      <c r="L38" s="1" t="s">
        <v>89</v>
      </c>
      <c r="R38" t="e">
        <f t="shared" si="1"/>
        <v>#N/A</v>
      </c>
    </row>
    <row r="39" spans="1:18" x14ac:dyDescent="0.25">
      <c r="A39" s="3">
        <f t="shared" si="0"/>
        <v>44761.508795821755</v>
      </c>
      <c r="B39" s="8" t="str">
        <f t="shared" si="2"/>
        <v>←</v>
      </c>
      <c r="C39" s="11">
        <f t="shared" si="3"/>
        <v>7.0000000000000001E-3</v>
      </c>
      <c r="D39" s="2">
        <v>1658196759959</v>
      </c>
      <c r="E39" t="s">
        <v>0</v>
      </c>
      <c r="F39" s="1">
        <v>5</v>
      </c>
      <c r="G39" s="1">
        <v>31</v>
      </c>
      <c r="H39" s="1">
        <v>21</v>
      </c>
      <c r="I39" s="1" t="s">
        <v>6</v>
      </c>
      <c r="J39" s="1">
        <v>3</v>
      </c>
      <c r="K39" s="1" t="s">
        <v>7</v>
      </c>
      <c r="R39" t="str">
        <f t="shared" si="1"/>
        <v>Ack</v>
      </c>
    </row>
    <row r="40" spans="1:18" x14ac:dyDescent="0.25">
      <c r="A40" s="3">
        <f t="shared" si="0"/>
        <v>44761.508795891197</v>
      </c>
      <c r="B40" s="8" t="str">
        <f t="shared" si="2"/>
        <v>→</v>
      </c>
      <c r="C40" s="11">
        <f t="shared" si="3"/>
        <v>6.0000000000000001E-3</v>
      </c>
      <c r="D40" s="2">
        <v>1658196759965</v>
      </c>
      <c r="E40" t="s">
        <v>0</v>
      </c>
      <c r="F40" s="1">
        <v>5</v>
      </c>
      <c r="G40" s="1">
        <v>21</v>
      </c>
      <c r="H40" s="1">
        <v>31</v>
      </c>
      <c r="I40" s="1">
        <v>6</v>
      </c>
      <c r="J40" s="1">
        <v>60</v>
      </c>
      <c r="K40" s="1">
        <v>83</v>
      </c>
      <c r="R40" t="str">
        <f t="shared" si="1"/>
        <v>FURNACE STATUS REQUEST</v>
      </c>
    </row>
    <row r="41" spans="1:18" x14ac:dyDescent="0.25">
      <c r="A41" s="3">
        <f t="shared" si="0"/>
        <v>44761.508797615737</v>
      </c>
      <c r="B41" s="8" t="str">
        <f t="shared" si="2"/>
        <v>←</v>
      </c>
      <c r="C41" s="11">
        <f t="shared" si="3"/>
        <v>0.14899999999999999</v>
      </c>
      <c r="D41" s="2">
        <v>1658196760114</v>
      </c>
      <c r="E41" t="s">
        <v>0</v>
      </c>
      <c r="F41" s="1">
        <v>9</v>
      </c>
      <c r="G41" s="1">
        <v>31</v>
      </c>
      <c r="H41" s="1">
        <v>21</v>
      </c>
      <c r="I41" s="1" t="s">
        <v>1</v>
      </c>
      <c r="J41" s="1">
        <v>0</v>
      </c>
      <c r="K41" s="1">
        <v>0</v>
      </c>
      <c r="L41" s="1">
        <v>0</v>
      </c>
      <c r="M41" s="1">
        <v>0</v>
      </c>
      <c r="N41" s="1" t="s">
        <v>21</v>
      </c>
      <c r="O41" s="1" t="s">
        <v>22</v>
      </c>
      <c r="R41" t="str">
        <f t="shared" si="1"/>
        <v>FURNACE STATUS RESPONSE Fan:0 Ignition:0 Burner:0 Unknown:0</v>
      </c>
    </row>
    <row r="42" spans="1:18" x14ac:dyDescent="0.25">
      <c r="A42" s="3">
        <f t="shared" si="0"/>
        <v>44761.509482395828</v>
      </c>
      <c r="B42" s="8" t="str">
        <f t="shared" si="2"/>
        <v>→</v>
      </c>
      <c r="C42" s="11">
        <f t="shared" si="3"/>
        <v>59.164999999999999</v>
      </c>
      <c r="D42" s="2">
        <v>1658196819279</v>
      </c>
      <c r="E42" t="s">
        <v>0</v>
      </c>
      <c r="F42" s="1">
        <v>8</v>
      </c>
      <c r="G42" s="1">
        <v>21</v>
      </c>
      <c r="H42" s="1">
        <v>31</v>
      </c>
      <c r="I42" s="1">
        <v>7</v>
      </c>
      <c r="J42" s="1" t="s">
        <v>68</v>
      </c>
      <c r="K42" s="1">
        <v>8</v>
      </c>
      <c r="L42" s="1">
        <v>1</v>
      </c>
      <c r="M42" s="1" t="s">
        <v>66</v>
      </c>
      <c r="N42" s="1" t="s">
        <v>111</v>
      </c>
      <c r="R42" t="str">
        <f t="shared" si="1"/>
        <v>TIME 12:8 Tue</v>
      </c>
    </row>
    <row r="43" spans="1:18" x14ac:dyDescent="0.25">
      <c r="A43" s="3">
        <f t="shared" si="0"/>
        <v>44761.50948364583</v>
      </c>
      <c r="B43" s="8" t="str">
        <f t="shared" si="2"/>
        <v>←</v>
      </c>
      <c r="C43" s="11">
        <f t="shared" si="3"/>
        <v>0.108</v>
      </c>
      <c r="D43" s="2">
        <v>1658196819387</v>
      </c>
      <c r="E43" t="s">
        <v>0</v>
      </c>
      <c r="F43" s="1">
        <v>5</v>
      </c>
      <c r="G43" s="1">
        <v>31</v>
      </c>
      <c r="H43" s="1">
        <v>21</v>
      </c>
      <c r="I43" s="1" t="s">
        <v>6</v>
      </c>
      <c r="J43" s="1">
        <v>3</v>
      </c>
      <c r="K43" s="1" t="s">
        <v>7</v>
      </c>
      <c r="R43" t="str">
        <f t="shared" si="1"/>
        <v>Ack</v>
      </c>
    </row>
    <row r="44" spans="1:18" x14ac:dyDescent="0.25">
      <c r="A44" s="3">
        <f t="shared" si="0"/>
        <v>44761.509485057868</v>
      </c>
      <c r="B44" s="8" t="str">
        <f t="shared" si="2"/>
        <v>→</v>
      </c>
      <c r="C44" s="11">
        <f t="shared" si="3"/>
        <v>0.122</v>
      </c>
      <c r="D44" s="2">
        <v>1658196819509</v>
      </c>
      <c r="E44" t="s">
        <v>0</v>
      </c>
      <c r="F44" s="1">
        <v>5</v>
      </c>
      <c r="G44" s="1">
        <v>21</v>
      </c>
      <c r="H44" s="1">
        <v>31</v>
      </c>
      <c r="I44" s="1">
        <v>8</v>
      </c>
      <c r="J44" s="1" t="s">
        <v>13</v>
      </c>
      <c r="K44" s="1" t="s">
        <v>66</v>
      </c>
      <c r="R44" t="e">
        <f t="shared" si="1"/>
        <v>#N/A</v>
      </c>
    </row>
    <row r="45" spans="1:18" x14ac:dyDescent="0.25">
      <c r="A45" s="3">
        <f t="shared" si="0"/>
        <v>44761.509486481482</v>
      </c>
      <c r="B45" s="8" t="str">
        <f t="shared" si="2"/>
        <v>←</v>
      </c>
      <c r="C45" s="11">
        <f t="shared" si="3"/>
        <v>0.123</v>
      </c>
      <c r="D45" s="2">
        <v>1658196819632</v>
      </c>
      <c r="E45" t="s">
        <v>0</v>
      </c>
      <c r="F45" s="1">
        <v>5</v>
      </c>
      <c r="G45" s="1">
        <v>31</v>
      </c>
      <c r="H45" s="1">
        <v>21</v>
      </c>
      <c r="I45" s="1" t="s">
        <v>6</v>
      </c>
      <c r="J45" s="1">
        <v>3</v>
      </c>
      <c r="K45" s="1" t="s">
        <v>7</v>
      </c>
      <c r="R45" t="str">
        <f t="shared" si="1"/>
        <v>Ack</v>
      </c>
    </row>
    <row r="46" spans="1:18" x14ac:dyDescent="0.25">
      <c r="A46" s="3">
        <f t="shared" si="0"/>
        <v>44761.509487685187</v>
      </c>
      <c r="B46" s="8" t="str">
        <f t="shared" si="2"/>
        <v>→</v>
      </c>
      <c r="C46" s="11">
        <f t="shared" si="3"/>
        <v>0.104</v>
      </c>
      <c r="D46" s="2">
        <v>1658196819736</v>
      </c>
      <c r="E46" t="s">
        <v>0</v>
      </c>
      <c r="F46" s="1">
        <v>6</v>
      </c>
      <c r="G46" s="1">
        <v>21</v>
      </c>
      <c r="H46" s="1">
        <v>31</v>
      </c>
      <c r="I46" s="1" t="s">
        <v>34</v>
      </c>
      <c r="J46" s="1">
        <v>0</v>
      </c>
      <c r="K46" s="1" t="s">
        <v>64</v>
      </c>
      <c r="L46" s="1" t="s">
        <v>89</v>
      </c>
      <c r="R46" t="e">
        <f t="shared" si="1"/>
        <v>#N/A</v>
      </c>
    </row>
    <row r="47" spans="1:18" x14ac:dyDescent="0.25">
      <c r="A47" s="3">
        <f t="shared" si="0"/>
        <v>44761.509488958334</v>
      </c>
      <c r="B47" s="8" t="str">
        <f t="shared" si="2"/>
        <v>←</v>
      </c>
      <c r="C47" s="11">
        <f t="shared" si="3"/>
        <v>0.11</v>
      </c>
      <c r="D47" s="2">
        <v>1658196819846</v>
      </c>
      <c r="E47" t="s">
        <v>0</v>
      </c>
      <c r="F47" s="1">
        <v>5</v>
      </c>
      <c r="G47" s="1">
        <v>31</v>
      </c>
      <c r="H47" s="1">
        <v>21</v>
      </c>
      <c r="I47" s="1" t="s">
        <v>6</v>
      </c>
      <c r="J47" s="1">
        <v>3</v>
      </c>
      <c r="K47" s="1" t="s">
        <v>7</v>
      </c>
      <c r="R47" t="str">
        <f t="shared" si="1"/>
        <v>Ack</v>
      </c>
    </row>
    <row r="48" spans="1:18" x14ac:dyDescent="0.25">
      <c r="A48" s="3">
        <f t="shared" si="0"/>
        <v>44761.509490046294</v>
      </c>
      <c r="B48" s="8" t="str">
        <f t="shared" si="2"/>
        <v>→</v>
      </c>
      <c r="C48" s="11">
        <f t="shared" si="3"/>
        <v>9.4E-2</v>
      </c>
      <c r="D48" s="2">
        <v>1658196819940</v>
      </c>
      <c r="E48" t="s">
        <v>0</v>
      </c>
      <c r="F48" s="1">
        <v>5</v>
      </c>
      <c r="G48" s="1">
        <v>21</v>
      </c>
      <c r="H48" s="1">
        <v>31</v>
      </c>
      <c r="I48" s="1">
        <v>6</v>
      </c>
      <c r="J48" s="1">
        <v>60</v>
      </c>
      <c r="K48" s="1">
        <v>83</v>
      </c>
      <c r="R48" t="str">
        <f t="shared" si="1"/>
        <v>FURNACE STATUS REQUEST</v>
      </c>
    </row>
    <row r="49" spans="1:18" x14ac:dyDescent="0.25">
      <c r="A49" s="3">
        <f t="shared" si="0"/>
        <v>44761.50949178241</v>
      </c>
      <c r="B49" s="8" t="str">
        <f t="shared" si="2"/>
        <v>←</v>
      </c>
      <c r="C49" s="11">
        <f t="shared" si="3"/>
        <v>0.15</v>
      </c>
      <c r="D49" s="2">
        <v>1658196820090</v>
      </c>
      <c r="E49" t="s">
        <v>0</v>
      </c>
      <c r="F49" s="1">
        <v>9</v>
      </c>
      <c r="G49" s="1">
        <v>31</v>
      </c>
      <c r="H49" s="1">
        <v>21</v>
      </c>
      <c r="I49" s="1" t="s">
        <v>1</v>
      </c>
      <c r="J49" s="1">
        <v>0</v>
      </c>
      <c r="K49" s="1">
        <v>0</v>
      </c>
      <c r="L49" s="1">
        <v>0</v>
      </c>
      <c r="M49" s="1">
        <v>0</v>
      </c>
      <c r="N49" s="1" t="s">
        <v>21</v>
      </c>
      <c r="O49" s="1" t="s">
        <v>22</v>
      </c>
      <c r="R49" t="str">
        <f t="shared" si="1"/>
        <v>FURNACE STATUS RESPONSE Fan:0 Ignition:0 Burner:0 Unknown:0</v>
      </c>
    </row>
    <row r="50" spans="1:18" x14ac:dyDescent="0.25">
      <c r="A50" s="3">
        <f t="shared" si="0"/>
        <v>44761.510176759257</v>
      </c>
      <c r="B50" s="8" t="str">
        <f t="shared" si="2"/>
        <v>→</v>
      </c>
      <c r="C50" s="11">
        <f t="shared" si="3"/>
        <v>59.182000000000002</v>
      </c>
      <c r="D50" s="2">
        <v>1658196879272</v>
      </c>
      <c r="E50" t="s">
        <v>0</v>
      </c>
      <c r="F50" s="1">
        <v>8</v>
      </c>
      <c r="G50" s="1">
        <v>21</v>
      </c>
      <c r="H50" s="1">
        <v>31</v>
      </c>
      <c r="I50" s="1">
        <v>7</v>
      </c>
      <c r="J50" s="1" t="s">
        <v>68</v>
      </c>
      <c r="K50" s="1">
        <v>9</v>
      </c>
      <c r="L50" s="1">
        <v>1</v>
      </c>
      <c r="M50" s="1">
        <v>22</v>
      </c>
      <c r="N50" s="1" t="s">
        <v>59</v>
      </c>
      <c r="R50" t="str">
        <f t="shared" si="1"/>
        <v>TIME 12:9 Tue</v>
      </c>
    </row>
    <row r="51" spans="1:18" x14ac:dyDescent="0.25">
      <c r="A51" s="3">
        <f t="shared" si="0"/>
        <v>44761.510178171295</v>
      </c>
      <c r="B51" s="8" t="str">
        <f t="shared" si="2"/>
        <v>←</v>
      </c>
      <c r="C51" s="11">
        <f t="shared" si="3"/>
        <v>0.122</v>
      </c>
      <c r="D51" s="2">
        <v>1658196879394</v>
      </c>
      <c r="E51" t="s">
        <v>0</v>
      </c>
      <c r="F51" s="1">
        <v>5</v>
      </c>
      <c r="G51" s="1">
        <v>31</v>
      </c>
      <c r="H51" s="1">
        <v>21</v>
      </c>
      <c r="I51" s="1" t="s">
        <v>6</v>
      </c>
      <c r="J51" s="1">
        <v>3</v>
      </c>
      <c r="K51" s="1" t="s">
        <v>7</v>
      </c>
      <c r="R51" t="str">
        <f t="shared" si="1"/>
        <v>Ack</v>
      </c>
    </row>
    <row r="52" spans="1:18" x14ac:dyDescent="0.25">
      <c r="A52" s="3">
        <f t="shared" si="0"/>
        <v>44761.51017952546</v>
      </c>
      <c r="B52" s="8" t="str">
        <f t="shared" si="2"/>
        <v>→</v>
      </c>
      <c r="C52" s="11">
        <f t="shared" si="3"/>
        <v>0.11700000000000001</v>
      </c>
      <c r="D52" s="2">
        <v>1658196879511</v>
      </c>
      <c r="E52" t="s">
        <v>0</v>
      </c>
      <c r="F52" s="1">
        <v>5</v>
      </c>
      <c r="G52" s="1">
        <v>21</v>
      </c>
      <c r="H52" s="1">
        <v>31</v>
      </c>
      <c r="I52" s="1">
        <v>8</v>
      </c>
      <c r="J52" s="1" t="s">
        <v>13</v>
      </c>
      <c r="K52" s="1" t="s">
        <v>66</v>
      </c>
      <c r="R52" t="e">
        <f t="shared" si="1"/>
        <v>#N/A</v>
      </c>
    </row>
    <row r="53" spans="1:18" x14ac:dyDescent="0.25">
      <c r="A53" s="3">
        <f t="shared" si="0"/>
        <v>44761.51018099537</v>
      </c>
      <c r="B53" s="8" t="str">
        <f t="shared" si="2"/>
        <v>←</v>
      </c>
      <c r="C53" s="11">
        <f t="shared" si="3"/>
        <v>0.127</v>
      </c>
      <c r="D53" s="2">
        <v>1658196879638</v>
      </c>
      <c r="E53" t="s">
        <v>0</v>
      </c>
      <c r="F53" s="1">
        <v>5</v>
      </c>
      <c r="G53" s="1">
        <v>31</v>
      </c>
      <c r="H53" s="1">
        <v>21</v>
      </c>
      <c r="I53" s="1" t="s">
        <v>6</v>
      </c>
      <c r="J53" s="1">
        <v>3</v>
      </c>
      <c r="K53" s="1" t="s">
        <v>7</v>
      </c>
      <c r="R53" t="str">
        <f t="shared" si="1"/>
        <v>Ack</v>
      </c>
    </row>
    <row r="54" spans="1:18" x14ac:dyDescent="0.25">
      <c r="A54" s="3">
        <f t="shared" si="0"/>
        <v>44761.510182175924</v>
      </c>
      <c r="B54" s="8" t="str">
        <f t="shared" si="2"/>
        <v>→</v>
      </c>
      <c r="C54" s="11">
        <f t="shared" si="3"/>
        <v>0.10199999999999999</v>
      </c>
      <c r="D54" s="2">
        <v>1658196879740</v>
      </c>
      <c r="E54" t="s">
        <v>0</v>
      </c>
      <c r="F54" s="1">
        <v>6</v>
      </c>
      <c r="G54" s="1">
        <v>21</v>
      </c>
      <c r="H54" s="1">
        <v>31</v>
      </c>
      <c r="I54" s="1" t="s">
        <v>34</v>
      </c>
      <c r="J54" s="1">
        <v>0</v>
      </c>
      <c r="K54" s="1" t="s">
        <v>64</v>
      </c>
      <c r="L54" s="1" t="s">
        <v>89</v>
      </c>
      <c r="R54" t="e">
        <f t="shared" si="1"/>
        <v>#N/A</v>
      </c>
    </row>
    <row r="55" spans="1:18" x14ac:dyDescent="0.25">
      <c r="A55" s="3">
        <f t="shared" si="0"/>
        <v>44761.510183171289</v>
      </c>
      <c r="B55" s="8" t="str">
        <f t="shared" si="2"/>
        <v>←</v>
      </c>
      <c r="C55" s="11">
        <f t="shared" si="3"/>
        <v>8.5999999999999993E-2</v>
      </c>
      <c r="D55" s="2">
        <v>1658196879826</v>
      </c>
      <c r="E55" t="s">
        <v>0</v>
      </c>
      <c r="F55" s="1">
        <v>5</v>
      </c>
      <c r="G55" s="1">
        <v>31</v>
      </c>
      <c r="H55" s="1">
        <v>21</v>
      </c>
      <c r="I55" s="1" t="s">
        <v>6</v>
      </c>
      <c r="J55" s="1">
        <v>3</v>
      </c>
      <c r="K55" s="1" t="s">
        <v>7</v>
      </c>
      <c r="R55" t="str">
        <f t="shared" si="1"/>
        <v>Ack</v>
      </c>
    </row>
    <row r="56" spans="1:18" x14ac:dyDescent="0.25">
      <c r="A56" s="3">
        <f t="shared" si="0"/>
        <v>44761.510184571758</v>
      </c>
      <c r="B56" s="8" t="str">
        <f t="shared" si="2"/>
        <v>→</v>
      </c>
      <c r="C56" s="11">
        <f t="shared" si="3"/>
        <v>0.121</v>
      </c>
      <c r="D56" s="2">
        <v>1658196879947</v>
      </c>
      <c r="E56" t="s">
        <v>0</v>
      </c>
      <c r="F56" s="1">
        <v>5</v>
      </c>
      <c r="G56" s="1">
        <v>21</v>
      </c>
      <c r="H56" s="1">
        <v>31</v>
      </c>
      <c r="I56" s="1">
        <v>6</v>
      </c>
      <c r="J56" s="1">
        <v>60</v>
      </c>
      <c r="K56" s="1">
        <v>83</v>
      </c>
      <c r="R56" t="str">
        <f t="shared" si="1"/>
        <v>FURNACE STATUS REQUEST</v>
      </c>
    </row>
    <row r="57" spans="1:18" x14ac:dyDescent="0.25">
      <c r="A57" s="3">
        <f t="shared" si="0"/>
        <v>44761.510186354164</v>
      </c>
      <c r="B57" s="8" t="str">
        <f t="shared" si="2"/>
        <v>←</v>
      </c>
      <c r="C57" s="11">
        <f t="shared" si="3"/>
        <v>0.154</v>
      </c>
      <c r="D57" s="2">
        <v>1658196880101</v>
      </c>
      <c r="E57" t="s">
        <v>0</v>
      </c>
      <c r="F57" s="1">
        <v>9</v>
      </c>
      <c r="G57" s="1">
        <v>31</v>
      </c>
      <c r="H57" s="1">
        <v>21</v>
      </c>
      <c r="I57" s="1" t="s">
        <v>1</v>
      </c>
      <c r="J57" s="1">
        <v>0</v>
      </c>
      <c r="K57" s="1">
        <v>0</v>
      </c>
      <c r="L57" s="1">
        <v>0</v>
      </c>
      <c r="M57" s="1">
        <v>0</v>
      </c>
      <c r="N57" s="1" t="s">
        <v>21</v>
      </c>
      <c r="O57" s="1" t="s">
        <v>22</v>
      </c>
      <c r="R57" t="str">
        <f t="shared" si="1"/>
        <v>FURNACE STATUS RESPONSE Fan:0 Ignition:0 Burner:0 Unknown:0</v>
      </c>
    </row>
    <row r="58" spans="1:18" x14ac:dyDescent="0.25">
      <c r="A58" s="3">
        <f t="shared" si="0"/>
        <v>44761.510871423605</v>
      </c>
      <c r="B58" s="8" t="str">
        <f t="shared" si="2"/>
        <v>→</v>
      </c>
      <c r="C58" s="11">
        <f t="shared" si="3"/>
        <v>59.19</v>
      </c>
      <c r="D58" s="2">
        <v>1658196939291</v>
      </c>
      <c r="E58" t="s">
        <v>0</v>
      </c>
      <c r="F58" s="1">
        <v>8</v>
      </c>
      <c r="G58" s="1">
        <v>21</v>
      </c>
      <c r="H58" s="1">
        <v>31</v>
      </c>
      <c r="I58" s="1">
        <v>7</v>
      </c>
      <c r="J58" s="1" t="s">
        <v>68</v>
      </c>
      <c r="K58" s="1" t="s">
        <v>9</v>
      </c>
      <c r="L58" s="1">
        <v>1</v>
      </c>
      <c r="M58" s="1">
        <v>28</v>
      </c>
      <c r="N58" s="1" t="s">
        <v>59</v>
      </c>
      <c r="R58" t="str">
        <f t="shared" si="1"/>
        <v>TIME 12:10 Tue</v>
      </c>
    </row>
    <row r="59" spans="1:18" x14ac:dyDescent="0.25">
      <c r="A59" s="3">
        <f t="shared" si="0"/>
        <v>44761.510872511572</v>
      </c>
      <c r="B59" s="8" t="str">
        <f t="shared" si="2"/>
        <v>←</v>
      </c>
      <c r="C59" s="11">
        <f t="shared" si="3"/>
        <v>9.4E-2</v>
      </c>
      <c r="D59" s="2">
        <v>1658196939385</v>
      </c>
      <c r="E59" t="s">
        <v>0</v>
      </c>
      <c r="F59" s="1">
        <v>5</v>
      </c>
      <c r="G59" s="1">
        <v>31</v>
      </c>
      <c r="H59" s="1">
        <v>21</v>
      </c>
      <c r="I59" s="1" t="s">
        <v>6</v>
      </c>
      <c r="J59" s="1">
        <v>3</v>
      </c>
      <c r="K59" s="1" t="s">
        <v>7</v>
      </c>
      <c r="R59" t="str">
        <f t="shared" si="1"/>
        <v>Ack</v>
      </c>
    </row>
    <row r="60" spans="1:18" x14ac:dyDescent="0.25">
      <c r="A60" s="3">
        <f t="shared" si="0"/>
        <v>44761.510873900457</v>
      </c>
      <c r="B60" s="8" t="str">
        <f t="shared" si="2"/>
        <v>→</v>
      </c>
      <c r="C60" s="11">
        <f t="shared" si="3"/>
        <v>0.12</v>
      </c>
      <c r="D60" s="2">
        <v>1658196939505</v>
      </c>
      <c r="E60" t="s">
        <v>0</v>
      </c>
      <c r="F60" s="1">
        <v>5</v>
      </c>
      <c r="G60" s="1">
        <v>21</v>
      </c>
      <c r="H60" s="1">
        <v>31</v>
      </c>
      <c r="I60" s="1">
        <v>8</v>
      </c>
      <c r="J60" s="1" t="s">
        <v>13</v>
      </c>
      <c r="K60" s="1" t="s">
        <v>66</v>
      </c>
      <c r="R60" t="e">
        <f t="shared" si="1"/>
        <v>#N/A</v>
      </c>
    </row>
    <row r="61" spans="1:18" x14ac:dyDescent="0.25">
      <c r="A61" s="3">
        <f t="shared" si="0"/>
        <v>44761.51087528935</v>
      </c>
      <c r="B61" s="8" t="str">
        <f t="shared" si="2"/>
        <v>←</v>
      </c>
      <c r="C61" s="11">
        <f t="shared" si="3"/>
        <v>0.12</v>
      </c>
      <c r="D61" s="2">
        <v>1658196939625</v>
      </c>
      <c r="E61" t="s">
        <v>0</v>
      </c>
      <c r="F61" s="1">
        <v>5</v>
      </c>
      <c r="G61" s="1">
        <v>31</v>
      </c>
      <c r="H61" s="1">
        <v>21</v>
      </c>
      <c r="I61" s="1" t="s">
        <v>6</v>
      </c>
      <c r="J61" s="1">
        <v>3</v>
      </c>
      <c r="K61" s="1" t="s">
        <v>7</v>
      </c>
      <c r="R61" t="str">
        <f t="shared" si="1"/>
        <v>Ack</v>
      </c>
    </row>
    <row r="62" spans="1:18" x14ac:dyDescent="0.25">
      <c r="A62" s="3">
        <f t="shared" si="0"/>
        <v>44761.510876550929</v>
      </c>
      <c r="B62" s="8" t="str">
        <f t="shared" si="2"/>
        <v>→</v>
      </c>
      <c r="C62" s="11">
        <f t="shared" si="3"/>
        <v>0.109</v>
      </c>
      <c r="D62" s="2">
        <v>1658196939734</v>
      </c>
      <c r="E62" t="s">
        <v>0</v>
      </c>
      <c r="F62" s="1">
        <v>6</v>
      </c>
      <c r="G62" s="1">
        <v>21</v>
      </c>
      <c r="H62" s="1">
        <v>31</v>
      </c>
      <c r="I62" s="1" t="s">
        <v>34</v>
      </c>
      <c r="J62" s="1">
        <v>0</v>
      </c>
      <c r="K62" s="1" t="s">
        <v>64</v>
      </c>
      <c r="L62" s="1" t="s">
        <v>89</v>
      </c>
      <c r="R62" t="e">
        <f t="shared" si="1"/>
        <v>#N/A</v>
      </c>
    </row>
    <row r="63" spans="1:18" x14ac:dyDescent="0.25">
      <c r="A63" s="3">
        <f t="shared" si="0"/>
        <v>44761.510877743051</v>
      </c>
      <c r="B63" s="8" t="str">
        <f t="shared" si="2"/>
        <v>←</v>
      </c>
      <c r="C63" s="11">
        <f t="shared" si="3"/>
        <v>0.10299999999999999</v>
      </c>
      <c r="D63" s="2">
        <v>1658196939837</v>
      </c>
      <c r="E63" t="s">
        <v>0</v>
      </c>
      <c r="F63" s="1">
        <v>5</v>
      </c>
      <c r="G63" s="1">
        <v>31</v>
      </c>
      <c r="H63" s="1">
        <v>21</v>
      </c>
      <c r="I63" s="1" t="s">
        <v>6</v>
      </c>
      <c r="J63" s="1">
        <v>3</v>
      </c>
      <c r="K63" s="1" t="s">
        <v>7</v>
      </c>
      <c r="R63" t="str">
        <f t="shared" si="1"/>
        <v>Ack</v>
      </c>
    </row>
    <row r="64" spans="1:18" x14ac:dyDescent="0.25">
      <c r="A64" s="3">
        <f t="shared" si="0"/>
        <v>44761.510878842593</v>
      </c>
      <c r="B64" s="8" t="str">
        <f t="shared" si="2"/>
        <v>→</v>
      </c>
      <c r="C64" s="11">
        <f t="shared" si="3"/>
        <v>9.5000000000000001E-2</v>
      </c>
      <c r="D64" s="2">
        <v>1658196939932</v>
      </c>
      <c r="E64" t="s">
        <v>0</v>
      </c>
      <c r="F64" s="1">
        <v>5</v>
      </c>
      <c r="G64" s="1">
        <v>21</v>
      </c>
      <c r="H64" s="1">
        <v>31</v>
      </c>
      <c r="I64" s="1">
        <v>6</v>
      </c>
      <c r="J64" s="1">
        <v>60</v>
      </c>
      <c r="K64" s="1">
        <v>83</v>
      </c>
      <c r="R64" t="str">
        <f t="shared" si="1"/>
        <v>FURNACE STATUS REQUEST</v>
      </c>
    </row>
    <row r="65" spans="1:18" x14ac:dyDescent="0.25">
      <c r="A65" s="3">
        <f t="shared" si="0"/>
        <v>44761.510880694441</v>
      </c>
      <c r="B65" s="8" t="str">
        <f t="shared" si="2"/>
        <v>←</v>
      </c>
      <c r="C65" s="11">
        <f t="shared" si="3"/>
        <v>0.16</v>
      </c>
      <c r="D65" s="2">
        <v>1658196940092</v>
      </c>
      <c r="E65" t="s">
        <v>0</v>
      </c>
      <c r="F65" s="1">
        <v>9</v>
      </c>
      <c r="G65" s="1">
        <v>31</v>
      </c>
      <c r="H65" s="1">
        <v>21</v>
      </c>
      <c r="I65" s="1" t="s">
        <v>1</v>
      </c>
      <c r="J65" s="1">
        <v>0</v>
      </c>
      <c r="K65" s="1">
        <v>0</v>
      </c>
      <c r="L65" s="1">
        <v>0</v>
      </c>
      <c r="M65" s="1">
        <v>0</v>
      </c>
      <c r="N65" s="1" t="s">
        <v>21</v>
      </c>
      <c r="O65" s="1" t="s">
        <v>22</v>
      </c>
      <c r="R65" t="str">
        <f t="shared" si="1"/>
        <v>FURNACE STATUS RESPONSE Fan:0 Ignition:0 Burner:0 Unknown:0</v>
      </c>
    </row>
    <row r="66" spans="1:18" x14ac:dyDescent="0.25">
      <c r="A66" s="3">
        <f t="shared" si="0"/>
        <v>44761.511565891204</v>
      </c>
      <c r="B66" s="8" t="str">
        <f t="shared" si="2"/>
        <v>→</v>
      </c>
      <c r="C66" s="11">
        <f t="shared" si="3"/>
        <v>59.201000000000001</v>
      </c>
      <c r="D66" s="2">
        <v>1658196999293</v>
      </c>
      <c r="E66" t="s">
        <v>0</v>
      </c>
      <c r="F66" s="1">
        <v>8</v>
      </c>
      <c r="G66" s="1">
        <v>21</v>
      </c>
      <c r="H66" s="1">
        <v>31</v>
      </c>
      <c r="I66" s="1">
        <v>7</v>
      </c>
      <c r="J66" s="1" t="s">
        <v>68</v>
      </c>
      <c r="K66" s="1" t="s">
        <v>3</v>
      </c>
      <c r="L66" s="1">
        <v>1</v>
      </c>
      <c r="M66" s="1" t="s">
        <v>67</v>
      </c>
      <c r="N66" s="1" t="s">
        <v>111</v>
      </c>
      <c r="R66" t="str">
        <f t="shared" si="1"/>
        <v>TIME 12:11 Tue</v>
      </c>
    </row>
    <row r="67" spans="1:18" x14ac:dyDescent="0.25">
      <c r="A67" s="3">
        <f t="shared" ref="A67:A105" si="4">D67/(1000*60*60*24)+25569+10/24</f>
        <v>44761.511567291665</v>
      </c>
      <c r="B67" s="8" t="str">
        <f t="shared" si="2"/>
        <v>←</v>
      </c>
      <c r="C67" s="11">
        <f t="shared" si="3"/>
        <v>0.121</v>
      </c>
      <c r="D67" s="2">
        <v>1658196999414</v>
      </c>
      <c r="E67" t="s">
        <v>0</v>
      </c>
      <c r="F67" s="1">
        <v>5</v>
      </c>
      <c r="G67" s="1">
        <v>31</v>
      </c>
      <c r="H67" s="1">
        <v>21</v>
      </c>
      <c r="I67" s="1" t="s">
        <v>6</v>
      </c>
      <c r="J67" s="1">
        <v>3</v>
      </c>
      <c r="K67" s="1" t="s">
        <v>7</v>
      </c>
      <c r="R67" t="str">
        <f t="shared" ref="R67:R105" si="5">IF(E67="Ok",_xlfn.SWITCH(I67,5,"FURNACE STATUS REPORT Fan:"&amp;IF(_xlfn.BITAND(HEX2DEC(K67),1),"1","0")&amp;" Ignition:"&amp;IF(_xlfn.BITAND(HEX2DEC(K67),2),"1","0")&amp;" Burner:"&amp;IF(_xlfn.BITAND(HEX2DEC(K67),4),"1","0")&amp;" Unknown:"&amp;DEC2HEX(_xlfn.BITAND(HEX2DEC(K67),248)),6,"FURNACE STATUS REQUEST",7,"TIME "&amp;HEX2DEC(J67)&amp;":"&amp;HEX2DEC(K67)&amp;" "&amp;CHOOSE(L67+1,"Mon","Tue","Wed","Thu","Fri","Sat","Sun"),9,"PING FURNACE","0B","TEMPERATURE INFO Set:"&amp;HEX2DEC(K67)&amp;" Actual:"&amp;HEX2DEC(L67)/2&amp;" Countdown:"&amp;HEX2DEC(N67),29,"LONG PING FURNACE","FB","FURNACE STATUS RESPONSE Fan:"&amp;IF(_xlfn.BITAND(HEX2DEC(K67),1),"1","0")&amp;" Ignition:"&amp;IF(_xlfn.BITAND(HEX2DEC(K67),2),"1","0")&amp;" Burner:"&amp;IF(_xlfn.BITAND(HEX2DEC(K67),4),"1","0")&amp;" Unknown:"&amp;DEC2HEX(_xlfn.BITAND(HEX2DEC(K67),248)),"FF","Ack"),"")</f>
        <v>Ack</v>
      </c>
    </row>
    <row r="68" spans="1:18" x14ac:dyDescent="0.25">
      <c r="A68" s="3">
        <f t="shared" si="4"/>
        <v>44761.511568449067</v>
      </c>
      <c r="B68" s="8" t="str">
        <f t="shared" ref="B68:B105" si="6">IF(AND(G68=21,H68=31),"→",IF(AND(G68=31,H68=21),"←","Error"))</f>
        <v>→</v>
      </c>
      <c r="C68" s="11">
        <f t="shared" ref="C68:C105" si="7">(D68-D67)/1000</f>
        <v>0.1</v>
      </c>
      <c r="D68" s="2">
        <v>1658196999514</v>
      </c>
      <c r="E68" t="s">
        <v>0</v>
      </c>
      <c r="F68" s="1">
        <v>5</v>
      </c>
      <c r="G68" s="1">
        <v>21</v>
      </c>
      <c r="H68" s="1">
        <v>31</v>
      </c>
      <c r="I68" s="1">
        <v>8</v>
      </c>
      <c r="J68" s="1" t="s">
        <v>13</v>
      </c>
      <c r="K68" s="1" t="s">
        <v>66</v>
      </c>
      <c r="R68" t="e">
        <f t="shared" si="5"/>
        <v>#N/A</v>
      </c>
    </row>
    <row r="69" spans="1:18" x14ac:dyDescent="0.25">
      <c r="A69" s="3">
        <f t="shared" si="4"/>
        <v>44761.511569710645</v>
      </c>
      <c r="B69" s="8" t="str">
        <f t="shared" si="6"/>
        <v>←</v>
      </c>
      <c r="C69" s="11">
        <f t="shared" si="7"/>
        <v>0.109</v>
      </c>
      <c r="D69" s="2">
        <v>1658196999623</v>
      </c>
      <c r="E69" t="s">
        <v>0</v>
      </c>
      <c r="F69" s="1">
        <v>5</v>
      </c>
      <c r="G69" s="1">
        <v>31</v>
      </c>
      <c r="H69" s="1">
        <v>21</v>
      </c>
      <c r="I69" s="1" t="s">
        <v>6</v>
      </c>
      <c r="J69" s="1">
        <v>3</v>
      </c>
      <c r="K69" s="1" t="s">
        <v>7</v>
      </c>
      <c r="R69" t="str">
        <f t="shared" si="5"/>
        <v>Ack</v>
      </c>
    </row>
    <row r="70" spans="1:18" x14ac:dyDescent="0.25">
      <c r="A70" s="3">
        <f t="shared" si="4"/>
        <v>44761.511571006944</v>
      </c>
      <c r="B70" s="8" t="str">
        <f t="shared" si="6"/>
        <v>→</v>
      </c>
      <c r="C70" s="11">
        <f t="shared" si="7"/>
        <v>0.112</v>
      </c>
      <c r="D70" s="2">
        <v>1658196999735</v>
      </c>
      <c r="E70" t="s">
        <v>0</v>
      </c>
      <c r="F70" s="1">
        <v>6</v>
      </c>
      <c r="G70" s="1">
        <v>21</v>
      </c>
      <c r="H70" s="1">
        <v>31</v>
      </c>
      <c r="I70" s="1" t="s">
        <v>34</v>
      </c>
      <c r="J70" s="1">
        <v>0</v>
      </c>
      <c r="K70" s="1" t="s">
        <v>64</v>
      </c>
      <c r="L70" s="1" t="s">
        <v>89</v>
      </c>
      <c r="R70" t="e">
        <f t="shared" si="5"/>
        <v>#N/A</v>
      </c>
    </row>
    <row r="71" spans="1:18" x14ac:dyDescent="0.25">
      <c r="A71" s="3">
        <f t="shared" si="4"/>
        <v>44761.511572118055</v>
      </c>
      <c r="B71" s="8" t="str">
        <f t="shared" si="6"/>
        <v>←</v>
      </c>
      <c r="C71" s="11">
        <f t="shared" si="7"/>
        <v>9.6000000000000002E-2</v>
      </c>
      <c r="D71" s="2">
        <v>1658196999831</v>
      </c>
      <c r="E71" t="s">
        <v>0</v>
      </c>
      <c r="F71" s="1">
        <v>5</v>
      </c>
      <c r="G71" s="1">
        <v>31</v>
      </c>
      <c r="H71" s="1">
        <v>21</v>
      </c>
      <c r="I71" s="1" t="s">
        <v>6</v>
      </c>
      <c r="J71" s="1">
        <v>3</v>
      </c>
      <c r="K71" s="1" t="s">
        <v>7</v>
      </c>
      <c r="R71" t="str">
        <f t="shared" si="5"/>
        <v>Ack</v>
      </c>
    </row>
    <row r="72" spans="1:18" x14ac:dyDescent="0.25">
      <c r="A72" s="3">
        <f t="shared" si="4"/>
        <v>44761.511573194446</v>
      </c>
      <c r="B72" s="8" t="str">
        <f t="shared" si="6"/>
        <v>→</v>
      </c>
      <c r="C72" s="11">
        <f t="shared" si="7"/>
        <v>9.2999999999999999E-2</v>
      </c>
      <c r="D72" s="2">
        <v>1658196999924</v>
      </c>
      <c r="E72" t="s">
        <v>0</v>
      </c>
      <c r="F72" s="1">
        <v>5</v>
      </c>
      <c r="G72" s="1">
        <v>21</v>
      </c>
      <c r="H72" s="1">
        <v>31</v>
      </c>
      <c r="I72" s="1">
        <v>6</v>
      </c>
      <c r="J72" s="1">
        <v>60</v>
      </c>
      <c r="K72" s="1">
        <v>83</v>
      </c>
      <c r="R72" t="str">
        <f t="shared" si="5"/>
        <v>FURNACE STATUS REQUEST</v>
      </c>
    </row>
    <row r="73" spans="1:18" x14ac:dyDescent="0.25">
      <c r="A73" s="3">
        <f t="shared" si="4"/>
        <v>44761.511575057863</v>
      </c>
      <c r="B73" s="8" t="str">
        <f t="shared" si="6"/>
        <v>←</v>
      </c>
      <c r="C73" s="11">
        <f t="shared" si="7"/>
        <v>0.161</v>
      </c>
      <c r="D73" s="2">
        <v>1658197000085</v>
      </c>
      <c r="E73" t="s">
        <v>0</v>
      </c>
      <c r="F73" s="1">
        <v>9</v>
      </c>
      <c r="G73" s="1">
        <v>31</v>
      </c>
      <c r="H73" s="1">
        <v>21</v>
      </c>
      <c r="I73" s="1" t="s">
        <v>1</v>
      </c>
      <c r="J73" s="1">
        <v>0</v>
      </c>
      <c r="K73" s="1">
        <v>0</v>
      </c>
      <c r="L73" s="1">
        <v>0</v>
      </c>
      <c r="M73" s="1">
        <v>0</v>
      </c>
      <c r="N73" s="1" t="s">
        <v>21</v>
      </c>
      <c r="O73" s="1" t="s">
        <v>22</v>
      </c>
      <c r="R73" t="str">
        <f t="shared" si="5"/>
        <v>FURNACE STATUS RESPONSE Fan:0 Ignition:0 Burner:0 Unknown:0</v>
      </c>
    </row>
    <row r="74" spans="1:18" x14ac:dyDescent="0.25">
      <c r="A74" s="3">
        <f t="shared" si="4"/>
        <v>44761.512260243057</v>
      </c>
      <c r="B74" s="8" t="str">
        <f t="shared" si="6"/>
        <v>→</v>
      </c>
      <c r="C74" s="11">
        <f t="shared" si="7"/>
        <v>59.2</v>
      </c>
      <c r="D74" s="2">
        <v>1658197059285</v>
      </c>
      <c r="E74" t="s">
        <v>0</v>
      </c>
      <c r="F74" s="1">
        <v>8</v>
      </c>
      <c r="G74" s="1">
        <v>21</v>
      </c>
      <c r="H74" s="1">
        <v>31</v>
      </c>
      <c r="I74" s="1">
        <v>7</v>
      </c>
      <c r="J74" s="1" t="s">
        <v>68</v>
      </c>
      <c r="K74" s="1" t="s">
        <v>68</v>
      </c>
      <c r="L74" s="1">
        <v>1</v>
      </c>
      <c r="M74" s="1" t="s">
        <v>69</v>
      </c>
      <c r="N74" s="1" t="s">
        <v>59</v>
      </c>
      <c r="R74" t="str">
        <f t="shared" si="5"/>
        <v>TIME 12:12 Tue</v>
      </c>
    </row>
    <row r="75" spans="1:18" x14ac:dyDescent="0.25">
      <c r="A75" s="3">
        <f t="shared" si="4"/>
        <v>44761.512261620366</v>
      </c>
      <c r="B75" s="8" t="str">
        <f t="shared" si="6"/>
        <v>←</v>
      </c>
      <c r="C75" s="11">
        <f t="shared" si="7"/>
        <v>0.11899999999999999</v>
      </c>
      <c r="D75" s="2">
        <v>1658197059404</v>
      </c>
      <c r="E75" t="s">
        <v>0</v>
      </c>
      <c r="F75" s="1">
        <v>5</v>
      </c>
      <c r="G75" s="1">
        <v>31</v>
      </c>
      <c r="H75" s="1">
        <v>21</v>
      </c>
      <c r="I75" s="1" t="s">
        <v>6</v>
      </c>
      <c r="J75" s="1">
        <v>3</v>
      </c>
      <c r="K75" s="1" t="s">
        <v>7</v>
      </c>
      <c r="R75" t="str">
        <f t="shared" si="5"/>
        <v>Ack</v>
      </c>
    </row>
    <row r="76" spans="1:18" x14ac:dyDescent="0.25">
      <c r="A76" s="3">
        <f t="shared" si="4"/>
        <v>44761.51226304398</v>
      </c>
      <c r="B76" s="8" t="str">
        <f t="shared" si="6"/>
        <v>→</v>
      </c>
      <c r="C76" s="11">
        <f t="shared" si="7"/>
        <v>0.123</v>
      </c>
      <c r="D76" s="2">
        <v>1658197059527</v>
      </c>
      <c r="E76" t="s">
        <v>0</v>
      </c>
      <c r="F76" s="1">
        <v>5</v>
      </c>
      <c r="G76" s="1">
        <v>21</v>
      </c>
      <c r="H76" s="1">
        <v>31</v>
      </c>
      <c r="I76" s="1">
        <v>8</v>
      </c>
      <c r="J76" s="1" t="s">
        <v>13</v>
      </c>
      <c r="K76" s="1" t="s">
        <v>66</v>
      </c>
      <c r="R76" t="e">
        <f t="shared" si="5"/>
        <v>#N/A</v>
      </c>
    </row>
    <row r="77" spans="1:18" x14ac:dyDescent="0.25">
      <c r="A77" s="3">
        <f t="shared" si="4"/>
        <v>44761.512264837962</v>
      </c>
      <c r="B77" s="8" t="str">
        <f t="shared" si="6"/>
        <v>←</v>
      </c>
      <c r="C77" s="11">
        <f t="shared" si="7"/>
        <v>0.155</v>
      </c>
      <c r="D77" s="2">
        <v>1658197059682</v>
      </c>
      <c r="E77" t="s">
        <v>0</v>
      </c>
      <c r="F77" s="1">
        <v>5</v>
      </c>
      <c r="G77" s="1">
        <v>31</v>
      </c>
      <c r="H77" s="1">
        <v>21</v>
      </c>
      <c r="I77" s="1" t="s">
        <v>6</v>
      </c>
      <c r="J77" s="1">
        <v>3</v>
      </c>
      <c r="K77" s="1" t="s">
        <v>7</v>
      </c>
      <c r="R77" t="str">
        <f t="shared" si="5"/>
        <v>Ack</v>
      </c>
    </row>
    <row r="78" spans="1:18" x14ac:dyDescent="0.25">
      <c r="A78" s="3">
        <f t="shared" si="4"/>
        <v>44761.512265798614</v>
      </c>
      <c r="B78" s="8" t="str">
        <f t="shared" si="6"/>
        <v>→</v>
      </c>
      <c r="C78" s="11">
        <f t="shared" si="7"/>
        <v>8.3000000000000004E-2</v>
      </c>
      <c r="D78" s="2">
        <v>1658197059765</v>
      </c>
      <c r="E78" t="s">
        <v>0</v>
      </c>
      <c r="F78" s="1">
        <v>6</v>
      </c>
      <c r="G78" s="1">
        <v>21</v>
      </c>
      <c r="H78" s="1">
        <v>31</v>
      </c>
      <c r="I78" s="1" t="s">
        <v>34</v>
      </c>
      <c r="J78" s="1">
        <v>0</v>
      </c>
      <c r="K78" s="1" t="s">
        <v>64</v>
      </c>
      <c r="L78" s="1" t="s">
        <v>89</v>
      </c>
      <c r="R78" t="e">
        <f t="shared" si="5"/>
        <v>#N/A</v>
      </c>
    </row>
    <row r="79" spans="1:18" x14ac:dyDescent="0.25">
      <c r="A79" s="3">
        <f t="shared" si="4"/>
        <v>44761.512267094906</v>
      </c>
      <c r="B79" s="8" t="str">
        <f t="shared" si="6"/>
        <v>←</v>
      </c>
      <c r="C79" s="11">
        <f t="shared" si="7"/>
        <v>0.112</v>
      </c>
      <c r="D79" s="2">
        <v>1658197059877</v>
      </c>
      <c r="E79" t="s">
        <v>0</v>
      </c>
      <c r="F79" s="1">
        <v>5</v>
      </c>
      <c r="G79" s="1">
        <v>31</v>
      </c>
      <c r="H79" s="1">
        <v>21</v>
      </c>
      <c r="I79" s="1" t="s">
        <v>6</v>
      </c>
      <c r="J79" s="1">
        <v>3</v>
      </c>
      <c r="K79" s="1" t="s">
        <v>7</v>
      </c>
      <c r="R79" t="str">
        <f t="shared" si="5"/>
        <v>Ack</v>
      </c>
    </row>
    <row r="80" spans="1:18" x14ac:dyDescent="0.25">
      <c r="A80" s="3">
        <f t="shared" si="4"/>
        <v>44761.512268043974</v>
      </c>
      <c r="B80" s="8" t="str">
        <f t="shared" si="6"/>
        <v>→</v>
      </c>
      <c r="C80" s="11">
        <f t="shared" si="7"/>
        <v>8.2000000000000003E-2</v>
      </c>
      <c r="D80" s="2">
        <v>1658197059959</v>
      </c>
      <c r="E80" t="s">
        <v>0</v>
      </c>
      <c r="F80" s="1">
        <v>5</v>
      </c>
      <c r="G80" s="1">
        <v>21</v>
      </c>
      <c r="H80" s="1">
        <v>31</v>
      </c>
      <c r="I80" s="1">
        <v>6</v>
      </c>
      <c r="J80" s="1">
        <v>60</v>
      </c>
      <c r="K80" s="1">
        <v>83</v>
      </c>
      <c r="R80" t="str">
        <f t="shared" si="5"/>
        <v>FURNACE STATUS REQUEST</v>
      </c>
    </row>
    <row r="81" spans="1:18" x14ac:dyDescent="0.25">
      <c r="A81" s="3">
        <f t="shared" si="4"/>
        <v>44761.512269849532</v>
      </c>
      <c r="B81" s="8" t="str">
        <f t="shared" si="6"/>
        <v>←</v>
      </c>
      <c r="C81" s="11">
        <f t="shared" si="7"/>
        <v>0.156</v>
      </c>
      <c r="D81" s="2">
        <v>1658197060115</v>
      </c>
      <c r="E81" t="s">
        <v>0</v>
      </c>
      <c r="F81" s="1">
        <v>9</v>
      </c>
      <c r="G81" s="1">
        <v>31</v>
      </c>
      <c r="H81" s="1">
        <v>21</v>
      </c>
      <c r="I81" s="1" t="s">
        <v>1</v>
      </c>
      <c r="J81" s="1">
        <v>0</v>
      </c>
      <c r="K81" s="1">
        <v>0</v>
      </c>
      <c r="L81" s="1">
        <v>0</v>
      </c>
      <c r="M81" s="1">
        <v>0</v>
      </c>
      <c r="N81" s="1" t="s">
        <v>21</v>
      </c>
      <c r="O81" s="1" t="s">
        <v>22</v>
      </c>
      <c r="R81" t="str">
        <f t="shared" si="5"/>
        <v>FURNACE STATUS RESPONSE Fan:0 Ignition:0 Burner:0 Unknown:0</v>
      </c>
    </row>
    <row r="82" spans="1:18" x14ac:dyDescent="0.25">
      <c r="A82" s="3">
        <f t="shared" si="4"/>
        <v>44761.512954745369</v>
      </c>
      <c r="B82" s="8" t="str">
        <f t="shared" si="6"/>
        <v>→</v>
      </c>
      <c r="C82" s="11">
        <f t="shared" si="7"/>
        <v>59.174999999999997</v>
      </c>
      <c r="D82" s="2">
        <v>1658197119290</v>
      </c>
      <c r="E82" t="s">
        <v>0</v>
      </c>
      <c r="F82" s="1">
        <v>8</v>
      </c>
      <c r="G82" s="1">
        <v>21</v>
      </c>
      <c r="H82" s="1">
        <v>31</v>
      </c>
      <c r="I82" s="1">
        <v>7</v>
      </c>
      <c r="J82" s="1" t="s">
        <v>68</v>
      </c>
      <c r="K82" s="1" t="s">
        <v>70</v>
      </c>
      <c r="L82" s="1">
        <v>1</v>
      </c>
      <c r="M82" s="1" t="s">
        <v>71</v>
      </c>
      <c r="N82" s="1" t="s">
        <v>111</v>
      </c>
      <c r="R82" t="str">
        <f t="shared" si="5"/>
        <v>TIME 12:13 Tue</v>
      </c>
    </row>
    <row r="83" spans="1:18" x14ac:dyDescent="0.25">
      <c r="A83" s="3">
        <f t="shared" si="4"/>
        <v>44761.512956157407</v>
      </c>
      <c r="B83" s="8" t="str">
        <f t="shared" si="6"/>
        <v>←</v>
      </c>
      <c r="C83" s="11">
        <f t="shared" si="7"/>
        <v>0.122</v>
      </c>
      <c r="D83" s="2">
        <v>1658197119412</v>
      </c>
      <c r="E83" t="s">
        <v>0</v>
      </c>
      <c r="F83" s="1">
        <v>5</v>
      </c>
      <c r="G83" s="1">
        <v>31</v>
      </c>
      <c r="H83" s="1">
        <v>21</v>
      </c>
      <c r="I83" s="1" t="s">
        <v>6</v>
      </c>
      <c r="J83" s="1">
        <v>3</v>
      </c>
      <c r="K83" s="1" t="s">
        <v>7</v>
      </c>
      <c r="R83" t="str">
        <f t="shared" si="5"/>
        <v>Ack</v>
      </c>
    </row>
    <row r="84" spans="1:18" x14ac:dyDescent="0.25">
      <c r="A84" s="3">
        <f t="shared" si="4"/>
        <v>44761.512957465275</v>
      </c>
      <c r="B84" s="8" t="str">
        <f t="shared" si="6"/>
        <v>→</v>
      </c>
      <c r="C84" s="11">
        <f t="shared" si="7"/>
        <v>0.113</v>
      </c>
      <c r="D84" s="2">
        <v>1658197119525</v>
      </c>
      <c r="E84" t="s">
        <v>0</v>
      </c>
      <c r="F84" s="1">
        <v>5</v>
      </c>
      <c r="G84" s="1">
        <v>21</v>
      </c>
      <c r="H84" s="1">
        <v>31</v>
      </c>
      <c r="I84" s="1">
        <v>8</v>
      </c>
      <c r="J84" s="1" t="s">
        <v>13</v>
      </c>
      <c r="K84" s="1" t="s">
        <v>66</v>
      </c>
      <c r="R84" t="e">
        <f t="shared" si="5"/>
        <v>#N/A</v>
      </c>
    </row>
    <row r="85" spans="1:18" x14ac:dyDescent="0.25">
      <c r="A85" s="3">
        <f t="shared" si="4"/>
        <v>44761.512958877312</v>
      </c>
      <c r="B85" s="8" t="str">
        <f t="shared" si="6"/>
        <v>←</v>
      </c>
      <c r="C85" s="11">
        <f t="shared" si="7"/>
        <v>0.122</v>
      </c>
      <c r="D85" s="2">
        <v>1658197119647</v>
      </c>
      <c r="E85" t="s">
        <v>0</v>
      </c>
      <c r="F85" s="1">
        <v>5</v>
      </c>
      <c r="G85" s="1">
        <v>31</v>
      </c>
      <c r="H85" s="1">
        <v>21</v>
      </c>
      <c r="I85" s="1" t="s">
        <v>6</v>
      </c>
      <c r="J85" s="1">
        <v>3</v>
      </c>
      <c r="K85" s="1" t="s">
        <v>7</v>
      </c>
      <c r="R85" t="str">
        <f t="shared" si="5"/>
        <v>Ack</v>
      </c>
    </row>
    <row r="86" spans="1:18" x14ac:dyDescent="0.25">
      <c r="A86" s="3">
        <f t="shared" si="4"/>
        <v>44761.512960069442</v>
      </c>
      <c r="B86" s="8" t="str">
        <f t="shared" si="6"/>
        <v>→</v>
      </c>
      <c r="C86" s="11">
        <f t="shared" si="7"/>
        <v>0.10299999999999999</v>
      </c>
      <c r="D86" s="2">
        <v>1658197119750</v>
      </c>
      <c r="E86" t="s">
        <v>0</v>
      </c>
      <c r="F86" s="1">
        <v>6</v>
      </c>
      <c r="G86" s="1">
        <v>21</v>
      </c>
      <c r="H86" s="1">
        <v>31</v>
      </c>
      <c r="I86" s="1" t="s">
        <v>34</v>
      </c>
      <c r="J86" s="1">
        <v>0</v>
      </c>
      <c r="K86" s="1" t="s">
        <v>64</v>
      </c>
      <c r="L86" s="1" t="s">
        <v>89</v>
      </c>
      <c r="R86" t="e">
        <f t="shared" si="5"/>
        <v>#N/A</v>
      </c>
    </row>
    <row r="87" spans="1:18" x14ac:dyDescent="0.25">
      <c r="A87" s="3">
        <f t="shared" si="4"/>
        <v>44761.512961493056</v>
      </c>
      <c r="B87" s="8" t="str">
        <f t="shared" si="6"/>
        <v>←</v>
      </c>
      <c r="C87" s="11">
        <f t="shared" si="7"/>
        <v>0.123</v>
      </c>
      <c r="D87" s="2">
        <v>1658197119873</v>
      </c>
      <c r="E87" t="s">
        <v>0</v>
      </c>
      <c r="F87" s="1">
        <v>5</v>
      </c>
      <c r="G87" s="1">
        <v>31</v>
      </c>
      <c r="H87" s="1">
        <v>21</v>
      </c>
      <c r="I87" s="1" t="s">
        <v>6</v>
      </c>
      <c r="J87" s="1">
        <v>3</v>
      </c>
      <c r="K87" s="1" t="s">
        <v>7</v>
      </c>
      <c r="R87" t="str">
        <f t="shared" si="5"/>
        <v>Ack</v>
      </c>
    </row>
    <row r="88" spans="1:18" x14ac:dyDescent="0.25">
      <c r="A88" s="3">
        <f t="shared" si="4"/>
        <v>44761.512962511573</v>
      </c>
      <c r="B88" s="8" t="str">
        <f t="shared" si="6"/>
        <v>→</v>
      </c>
      <c r="C88" s="11">
        <f t="shared" si="7"/>
        <v>8.7999999999999995E-2</v>
      </c>
      <c r="D88" s="2">
        <v>1658197119961</v>
      </c>
      <c r="E88" t="s">
        <v>0</v>
      </c>
      <c r="F88" s="1">
        <v>5</v>
      </c>
      <c r="G88" s="1">
        <v>21</v>
      </c>
      <c r="H88" s="1">
        <v>31</v>
      </c>
      <c r="I88" s="1">
        <v>6</v>
      </c>
      <c r="J88" s="1">
        <v>60</v>
      </c>
      <c r="K88" s="1">
        <v>83</v>
      </c>
      <c r="R88" t="str">
        <f t="shared" si="5"/>
        <v>FURNACE STATUS REQUEST</v>
      </c>
    </row>
    <row r="89" spans="1:18" x14ac:dyDescent="0.25">
      <c r="A89" s="3">
        <f t="shared" si="4"/>
        <v>44761.512964421294</v>
      </c>
      <c r="B89" s="8" t="str">
        <f t="shared" si="6"/>
        <v>←</v>
      </c>
      <c r="C89" s="11">
        <f t="shared" si="7"/>
        <v>0.16500000000000001</v>
      </c>
      <c r="D89" s="2">
        <v>1658197120126</v>
      </c>
      <c r="E89" t="s">
        <v>0</v>
      </c>
      <c r="F89" s="1">
        <v>9</v>
      </c>
      <c r="G89" s="1">
        <v>31</v>
      </c>
      <c r="H89" s="1">
        <v>21</v>
      </c>
      <c r="I89" s="1" t="s">
        <v>1</v>
      </c>
      <c r="J89" s="1">
        <v>0</v>
      </c>
      <c r="K89" s="1">
        <v>0</v>
      </c>
      <c r="L89" s="1">
        <v>0</v>
      </c>
      <c r="M89" s="1">
        <v>0</v>
      </c>
      <c r="N89" s="1" t="s">
        <v>21</v>
      </c>
      <c r="O89" s="1" t="s">
        <v>22</v>
      </c>
      <c r="R89" t="str">
        <f t="shared" si="5"/>
        <v>FURNACE STATUS RESPONSE Fan:0 Ignition:0 Burner:0 Unknown:0</v>
      </c>
    </row>
    <row r="90" spans="1:18" x14ac:dyDescent="0.25">
      <c r="A90" s="3">
        <f t="shared" si="4"/>
        <v>44761.513649293978</v>
      </c>
      <c r="B90" s="8" t="str">
        <f t="shared" si="6"/>
        <v>→</v>
      </c>
      <c r="C90" s="11">
        <f t="shared" si="7"/>
        <v>59.173000000000002</v>
      </c>
      <c r="D90" s="2">
        <v>1658197179299</v>
      </c>
      <c r="E90" t="s">
        <v>0</v>
      </c>
      <c r="F90" s="1">
        <v>8</v>
      </c>
      <c r="G90" s="1">
        <v>21</v>
      </c>
      <c r="H90" s="1">
        <v>31</v>
      </c>
      <c r="I90" s="1">
        <v>7</v>
      </c>
      <c r="J90" s="1" t="s">
        <v>68</v>
      </c>
      <c r="K90" s="1" t="s">
        <v>72</v>
      </c>
      <c r="L90" s="1">
        <v>1</v>
      </c>
      <c r="M90" s="1" t="s">
        <v>73</v>
      </c>
      <c r="N90" s="1" t="s">
        <v>111</v>
      </c>
      <c r="R90" t="str">
        <f t="shared" si="5"/>
        <v>TIME 12:14 Tue</v>
      </c>
    </row>
    <row r="91" spans="1:18" x14ac:dyDescent="0.25">
      <c r="A91" s="3">
        <f t="shared" si="4"/>
        <v>44761.513650729168</v>
      </c>
      <c r="B91" s="8" t="str">
        <f t="shared" si="6"/>
        <v>←</v>
      </c>
      <c r="C91" s="11">
        <f t="shared" si="7"/>
        <v>0.124</v>
      </c>
      <c r="D91" s="2">
        <v>1658197179423</v>
      </c>
      <c r="E91" t="s">
        <v>0</v>
      </c>
      <c r="F91" s="1">
        <v>5</v>
      </c>
      <c r="G91" s="1">
        <v>31</v>
      </c>
      <c r="H91" s="1">
        <v>21</v>
      </c>
      <c r="I91" s="1" t="s">
        <v>6</v>
      </c>
      <c r="J91" s="1">
        <v>3</v>
      </c>
      <c r="K91" s="1" t="s">
        <v>7</v>
      </c>
      <c r="R91" t="str">
        <f t="shared" si="5"/>
        <v>Ack</v>
      </c>
    </row>
    <row r="92" spans="1:18" x14ac:dyDescent="0.25">
      <c r="A92" s="3">
        <f t="shared" si="4"/>
        <v>44761.513651875001</v>
      </c>
      <c r="B92" s="8" t="str">
        <f t="shared" si="6"/>
        <v>→</v>
      </c>
      <c r="C92" s="11">
        <f t="shared" si="7"/>
        <v>9.9000000000000005E-2</v>
      </c>
      <c r="D92" s="2">
        <v>1658197179522</v>
      </c>
      <c r="E92" t="s">
        <v>0</v>
      </c>
      <c r="F92" s="1">
        <v>5</v>
      </c>
      <c r="G92" s="1">
        <v>21</v>
      </c>
      <c r="H92" s="1">
        <v>31</v>
      </c>
      <c r="I92" s="1">
        <v>8</v>
      </c>
      <c r="J92" s="1" t="s">
        <v>13</v>
      </c>
      <c r="K92" s="1" t="s">
        <v>66</v>
      </c>
      <c r="R92" t="e">
        <f t="shared" si="5"/>
        <v>#N/A</v>
      </c>
    </row>
    <row r="93" spans="1:18" x14ac:dyDescent="0.25">
      <c r="A93" s="3">
        <f t="shared" si="4"/>
        <v>44761.513653171292</v>
      </c>
      <c r="B93" s="8" t="str">
        <f t="shared" si="6"/>
        <v>←</v>
      </c>
      <c r="C93" s="11">
        <f t="shared" si="7"/>
        <v>0.112</v>
      </c>
      <c r="D93" s="2">
        <v>1658197179634</v>
      </c>
      <c r="E93" t="s">
        <v>0</v>
      </c>
      <c r="F93" s="1">
        <v>5</v>
      </c>
      <c r="G93" s="1">
        <v>31</v>
      </c>
      <c r="H93" s="1">
        <v>21</v>
      </c>
      <c r="I93" s="1" t="s">
        <v>6</v>
      </c>
      <c r="J93" s="1">
        <v>3</v>
      </c>
      <c r="K93" s="1" t="s">
        <v>7</v>
      </c>
      <c r="R93" t="str">
        <f t="shared" si="5"/>
        <v>Ack</v>
      </c>
    </row>
    <row r="94" spans="1:18" x14ac:dyDescent="0.25">
      <c r="A94" s="3">
        <f t="shared" si="4"/>
        <v>44761.513654409719</v>
      </c>
      <c r="B94" s="8" t="str">
        <f t="shared" si="6"/>
        <v>→</v>
      </c>
      <c r="C94" s="11">
        <f t="shared" si="7"/>
        <v>0.107</v>
      </c>
      <c r="D94" s="2">
        <v>1658197179741</v>
      </c>
      <c r="E94" t="s">
        <v>0</v>
      </c>
      <c r="F94" s="1">
        <v>6</v>
      </c>
      <c r="G94" s="1">
        <v>21</v>
      </c>
      <c r="H94" s="1">
        <v>31</v>
      </c>
      <c r="I94" s="1" t="s">
        <v>34</v>
      </c>
      <c r="J94" s="1">
        <v>0</v>
      </c>
      <c r="K94" s="1" t="s">
        <v>64</v>
      </c>
      <c r="L94" s="1" t="s">
        <v>89</v>
      </c>
      <c r="R94" t="e">
        <f t="shared" si="5"/>
        <v>#N/A</v>
      </c>
    </row>
    <row r="95" spans="1:18" x14ac:dyDescent="0.25">
      <c r="A95" s="3">
        <f t="shared" si="4"/>
        <v>44761.513655625</v>
      </c>
      <c r="B95" s="8" t="str">
        <f t="shared" si="6"/>
        <v>←</v>
      </c>
      <c r="C95" s="11">
        <f t="shared" si="7"/>
        <v>0.105</v>
      </c>
      <c r="D95" s="2">
        <v>1658197179846</v>
      </c>
      <c r="E95" t="s">
        <v>0</v>
      </c>
      <c r="F95" s="1">
        <v>5</v>
      </c>
      <c r="G95" s="1">
        <v>31</v>
      </c>
      <c r="H95" s="1">
        <v>21</v>
      </c>
      <c r="I95" s="1" t="s">
        <v>6</v>
      </c>
      <c r="J95" s="1">
        <v>3</v>
      </c>
      <c r="K95" s="1" t="s">
        <v>7</v>
      </c>
      <c r="R95" t="str">
        <f t="shared" si="5"/>
        <v>Ack</v>
      </c>
    </row>
    <row r="96" spans="1:18" x14ac:dyDescent="0.25">
      <c r="A96" s="3">
        <f t="shared" si="4"/>
        <v>44761.513656469906</v>
      </c>
      <c r="B96" s="8" t="str">
        <f t="shared" si="6"/>
        <v>→</v>
      </c>
      <c r="C96" s="11">
        <f t="shared" si="7"/>
        <v>7.2999999999999995E-2</v>
      </c>
      <c r="D96" s="2">
        <v>1658197179919</v>
      </c>
      <c r="E96" t="s">
        <v>0</v>
      </c>
      <c r="F96" s="1">
        <v>5</v>
      </c>
      <c r="G96" s="1">
        <v>21</v>
      </c>
      <c r="H96" s="1">
        <v>31</v>
      </c>
      <c r="I96" s="1">
        <v>6</v>
      </c>
      <c r="J96" s="1">
        <v>60</v>
      </c>
      <c r="K96" s="1">
        <v>83</v>
      </c>
      <c r="R96" t="str">
        <f t="shared" si="5"/>
        <v>FURNACE STATUS REQUEST</v>
      </c>
    </row>
    <row r="97" spans="1:18" x14ac:dyDescent="0.25">
      <c r="A97" s="3">
        <f t="shared" si="4"/>
        <v>44761.513658460644</v>
      </c>
      <c r="B97" s="8" t="str">
        <f t="shared" si="6"/>
        <v>←</v>
      </c>
      <c r="C97" s="11">
        <f t="shared" si="7"/>
        <v>0.17199999999999999</v>
      </c>
      <c r="D97" s="2">
        <v>1658197180091</v>
      </c>
      <c r="E97" t="s">
        <v>0</v>
      </c>
      <c r="F97" s="1">
        <v>9</v>
      </c>
      <c r="G97" s="1">
        <v>31</v>
      </c>
      <c r="H97" s="1">
        <v>21</v>
      </c>
      <c r="I97" s="1" t="s">
        <v>1</v>
      </c>
      <c r="J97" s="1">
        <v>0</v>
      </c>
      <c r="K97" s="1">
        <v>0</v>
      </c>
      <c r="L97" s="1">
        <v>0</v>
      </c>
      <c r="M97" s="1">
        <v>0</v>
      </c>
      <c r="N97" s="1" t="s">
        <v>21</v>
      </c>
      <c r="O97" s="1" t="s">
        <v>22</v>
      </c>
      <c r="R97" t="str">
        <f t="shared" si="5"/>
        <v>FURNACE STATUS RESPONSE Fan:0 Ignition:0 Burner:0 Unknown:0</v>
      </c>
    </row>
    <row r="98" spans="1:18" x14ac:dyDescent="0.25">
      <c r="A98" s="3">
        <f t="shared" si="4"/>
        <v>44761.514343657407</v>
      </c>
      <c r="B98" s="8" t="str">
        <f t="shared" si="6"/>
        <v>→</v>
      </c>
      <c r="C98" s="11">
        <f t="shared" si="7"/>
        <v>59.201000000000001</v>
      </c>
      <c r="D98" s="2">
        <v>1658197239292</v>
      </c>
      <c r="E98" t="s">
        <v>0</v>
      </c>
      <c r="F98" s="1">
        <v>8</v>
      </c>
      <c r="G98" s="1">
        <v>21</v>
      </c>
      <c r="H98" s="1">
        <v>31</v>
      </c>
      <c r="I98" s="1">
        <v>7</v>
      </c>
      <c r="J98" s="1" t="s">
        <v>68</v>
      </c>
      <c r="K98" s="1" t="s">
        <v>74</v>
      </c>
      <c r="L98" s="1">
        <v>1</v>
      </c>
      <c r="M98" s="1">
        <v>36</v>
      </c>
      <c r="N98" s="1" t="s">
        <v>59</v>
      </c>
      <c r="R98" t="str">
        <f t="shared" si="5"/>
        <v>TIME 12:15 Tue</v>
      </c>
    </row>
    <row r="99" spans="1:18" x14ac:dyDescent="0.25">
      <c r="A99" s="3">
        <f t="shared" si="4"/>
        <v>44761.514345196752</v>
      </c>
      <c r="B99" s="8" t="str">
        <f t="shared" si="6"/>
        <v>←</v>
      </c>
      <c r="C99" s="11">
        <f t="shared" si="7"/>
        <v>0.13300000000000001</v>
      </c>
      <c r="D99" s="2">
        <v>1658197239425</v>
      </c>
      <c r="E99" t="s">
        <v>0</v>
      </c>
      <c r="F99" s="1">
        <v>5</v>
      </c>
      <c r="G99" s="1">
        <v>31</v>
      </c>
      <c r="H99" s="1">
        <v>21</v>
      </c>
      <c r="I99" s="1" t="s">
        <v>6</v>
      </c>
      <c r="J99" s="1">
        <v>3</v>
      </c>
      <c r="K99" s="1" t="s">
        <v>7</v>
      </c>
      <c r="R99" t="str">
        <f t="shared" si="5"/>
        <v>Ack</v>
      </c>
    </row>
    <row r="100" spans="1:18" x14ac:dyDescent="0.25">
      <c r="A100" s="3">
        <f t="shared" si="4"/>
        <v>44761.514346412034</v>
      </c>
      <c r="B100" s="8" t="str">
        <f t="shared" si="6"/>
        <v>→</v>
      </c>
      <c r="C100" s="11">
        <f t="shared" si="7"/>
        <v>0.105</v>
      </c>
      <c r="D100" s="2">
        <v>1658197239530</v>
      </c>
      <c r="E100" t="s">
        <v>0</v>
      </c>
      <c r="F100" s="1">
        <v>5</v>
      </c>
      <c r="G100" s="1">
        <v>21</v>
      </c>
      <c r="H100" s="1">
        <v>31</v>
      </c>
      <c r="I100" s="1">
        <v>8</v>
      </c>
      <c r="J100" s="1" t="s">
        <v>13</v>
      </c>
      <c r="K100" s="1" t="s">
        <v>66</v>
      </c>
      <c r="R100" t="e">
        <f t="shared" si="5"/>
        <v>#N/A</v>
      </c>
    </row>
    <row r="101" spans="1:18" x14ac:dyDescent="0.25">
      <c r="A101" s="3">
        <f t="shared" si="4"/>
        <v>44761.514347939818</v>
      </c>
      <c r="B101" s="8" t="str">
        <f t="shared" si="6"/>
        <v>←</v>
      </c>
      <c r="C101" s="11">
        <f t="shared" si="7"/>
        <v>0.13200000000000001</v>
      </c>
      <c r="D101" s="2">
        <v>1658197239662</v>
      </c>
      <c r="E101" t="s">
        <v>0</v>
      </c>
      <c r="F101" s="1">
        <v>5</v>
      </c>
      <c r="G101" s="1">
        <v>31</v>
      </c>
      <c r="H101" s="1">
        <v>21</v>
      </c>
      <c r="I101" s="1" t="s">
        <v>6</v>
      </c>
      <c r="J101" s="1">
        <v>3</v>
      </c>
      <c r="K101" s="1" t="s">
        <v>7</v>
      </c>
      <c r="R101" t="str">
        <f t="shared" si="5"/>
        <v>Ack</v>
      </c>
    </row>
    <row r="102" spans="1:18" x14ac:dyDescent="0.25">
      <c r="A102" s="3">
        <f t="shared" si="4"/>
        <v>44761.51434908565</v>
      </c>
      <c r="B102" s="8" t="str">
        <f t="shared" si="6"/>
        <v>→</v>
      </c>
      <c r="C102" s="11">
        <f t="shared" si="7"/>
        <v>9.9000000000000005E-2</v>
      </c>
      <c r="D102" s="2">
        <v>1658197239761</v>
      </c>
      <c r="E102" t="s">
        <v>0</v>
      </c>
      <c r="F102" s="1">
        <v>6</v>
      </c>
      <c r="G102" s="1">
        <v>21</v>
      </c>
      <c r="H102" s="1">
        <v>31</v>
      </c>
      <c r="I102" s="1" t="s">
        <v>34</v>
      </c>
      <c r="J102" s="1">
        <v>0</v>
      </c>
      <c r="K102" s="1" t="s">
        <v>64</v>
      </c>
      <c r="L102" s="1" t="s">
        <v>89</v>
      </c>
      <c r="R102" t="e">
        <f t="shared" si="5"/>
        <v>#N/A</v>
      </c>
    </row>
    <row r="103" spans="1:18" x14ac:dyDescent="0.25">
      <c r="A103" s="3">
        <f t="shared" si="4"/>
        <v>44761.51435049768</v>
      </c>
      <c r="B103" s="8" t="str">
        <f t="shared" si="6"/>
        <v>←</v>
      </c>
      <c r="C103" s="11">
        <f t="shared" si="7"/>
        <v>0.122</v>
      </c>
      <c r="D103" s="2">
        <v>1658197239883</v>
      </c>
      <c r="E103" t="s">
        <v>0</v>
      </c>
      <c r="F103" s="1">
        <v>5</v>
      </c>
      <c r="G103" s="1">
        <v>31</v>
      </c>
      <c r="H103" s="1">
        <v>21</v>
      </c>
      <c r="I103" s="1" t="s">
        <v>6</v>
      </c>
      <c r="J103" s="1">
        <v>3</v>
      </c>
      <c r="K103" s="1" t="s">
        <v>7</v>
      </c>
      <c r="R103" t="str">
        <f t="shared" si="5"/>
        <v>Ack</v>
      </c>
    </row>
    <row r="104" spans="1:18" x14ac:dyDescent="0.25">
      <c r="A104" s="3">
        <f t="shared" si="4"/>
        <v>44761.514351481477</v>
      </c>
      <c r="B104" s="8" t="str">
        <f t="shared" si="6"/>
        <v>→</v>
      </c>
      <c r="C104" s="11">
        <f t="shared" si="7"/>
        <v>8.5000000000000006E-2</v>
      </c>
      <c r="D104" s="2">
        <v>1658197239968</v>
      </c>
      <c r="E104" t="s">
        <v>0</v>
      </c>
      <c r="F104" s="1">
        <v>5</v>
      </c>
      <c r="G104" s="1">
        <v>21</v>
      </c>
      <c r="H104" s="1">
        <v>31</v>
      </c>
      <c r="I104" s="1">
        <v>6</v>
      </c>
      <c r="J104" s="1">
        <v>60</v>
      </c>
      <c r="K104" s="1">
        <v>83</v>
      </c>
      <c r="R104" t="str">
        <f t="shared" si="5"/>
        <v>FURNACE STATUS REQUEST</v>
      </c>
    </row>
    <row r="105" spans="1:18" x14ac:dyDescent="0.25">
      <c r="A105" s="3">
        <f t="shared" si="4"/>
        <v>44761.514353287035</v>
      </c>
      <c r="B105" s="8" t="str">
        <f t="shared" si="6"/>
        <v>←</v>
      </c>
      <c r="C105" s="11">
        <f t="shared" si="7"/>
        <v>0.156</v>
      </c>
      <c r="D105" s="2">
        <v>1658197240124</v>
      </c>
      <c r="E105" t="s">
        <v>0</v>
      </c>
      <c r="F105" s="1">
        <v>9</v>
      </c>
      <c r="G105" s="1">
        <v>31</v>
      </c>
      <c r="H105" s="1">
        <v>21</v>
      </c>
      <c r="I105" s="1" t="s">
        <v>1</v>
      </c>
      <c r="J105" s="1">
        <v>0</v>
      </c>
      <c r="K105" s="1">
        <v>0</v>
      </c>
      <c r="L105" s="1">
        <v>0</v>
      </c>
      <c r="M105" s="1">
        <v>0</v>
      </c>
      <c r="N105" s="1" t="s">
        <v>21</v>
      </c>
      <c r="O105" s="1" t="s">
        <v>22</v>
      </c>
      <c r="R105" t="str">
        <f t="shared" si="5"/>
        <v>FURNACE STATUS RESPONSE Fan:0 Ignition:0 Burner:0 Unknown:0</v>
      </c>
    </row>
  </sheetData>
  <autoFilter ref="A1:R13878" xr:uid="{1D9EE959-5D9F-401E-B357-6E0D9910D0BE}"/>
  <conditionalFormatting sqref="E1:E1048576 B1:C1048576">
    <cfRule type="cellIs" dxfId="20" priority="5" operator="equal">
      <formula>"Ok"</formula>
    </cfRule>
    <cfRule type="cellIs" dxfId="19" priority="6" operator="equal">
      <formula>"Er"</formula>
    </cfRule>
    <cfRule type="cellIs" dxfId="18" priority="7" operator="equal">
      <formula>"Ln"</formula>
    </cfRule>
  </conditionalFormatting>
  <conditionalFormatting sqref="I1:I1048576">
    <cfRule type="cellIs" dxfId="17" priority="4" operator="equal">
      <formula>7</formula>
    </cfRule>
  </conditionalFormatting>
  <conditionalFormatting sqref="B1:C1048576">
    <cfRule type="cellIs" dxfId="16" priority="2" operator="equal">
      <formula>"→"</formula>
    </cfRule>
    <cfRule type="cellIs" dxfId="15" priority="3" operator="equal">
      <formula>"←"</formula>
    </cfRule>
  </conditionalFormatting>
  <conditionalFormatting sqref="C1:C1048576">
    <cfRule type="cellIs" dxfId="14" priority="1" operator="greaterThan">
      <formula>1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R13828"/>
  <sheetViews>
    <sheetView workbookViewId="0">
      <pane ySplit="1" topLeftCell="A844" activePane="bottomLeft" state="frozen"/>
      <selection pane="bottomLeft" activeCell="I912" sqref="I912"/>
    </sheetView>
  </sheetViews>
  <sheetFormatPr defaultRowHeight="15" x14ac:dyDescent="0.25"/>
  <cols>
    <col min="1" max="1" width="23.7109375" style="3" customWidth="1"/>
    <col min="2" max="2" width="9.140625" style="8"/>
    <col min="3" max="3" width="8.28515625" style="11" customWidth="1"/>
    <col min="4" max="4" width="24.42578125" style="2" customWidth="1"/>
    <col min="6" max="17" width="9.140625" style="1"/>
    <col min="18" max="18" width="31.7109375" bestFit="1" customWidth="1"/>
  </cols>
  <sheetData>
    <row r="1" spans="1:18" x14ac:dyDescent="0.25">
      <c r="A1" s="4" t="s">
        <v>75</v>
      </c>
      <c r="B1" s="9" t="s">
        <v>87</v>
      </c>
      <c r="C1" s="10" t="s">
        <v>77</v>
      </c>
      <c r="D1" s="5" t="s">
        <v>76</v>
      </c>
      <c r="E1" s="6" t="s">
        <v>78</v>
      </c>
      <c r="F1" s="7" t="s">
        <v>73</v>
      </c>
      <c r="G1" s="7" t="s">
        <v>79</v>
      </c>
      <c r="H1" s="7" t="s">
        <v>56</v>
      </c>
      <c r="I1" s="7" t="s">
        <v>80</v>
      </c>
      <c r="J1" s="7" t="s">
        <v>4</v>
      </c>
      <c r="K1" s="7" t="s">
        <v>81</v>
      </c>
      <c r="L1" s="7" t="s">
        <v>82</v>
      </c>
      <c r="M1" s="7" t="s">
        <v>83</v>
      </c>
      <c r="N1" s="7" t="s">
        <v>57</v>
      </c>
      <c r="O1" s="7" t="s">
        <v>84</v>
      </c>
      <c r="P1" s="7" t="s">
        <v>85</v>
      </c>
      <c r="Q1" s="7" t="s">
        <v>86</v>
      </c>
      <c r="R1" s="7" t="s">
        <v>115</v>
      </c>
    </row>
    <row r="2" spans="1:18" hidden="1" x14ac:dyDescent="0.25">
      <c r="A2" s="12">
        <f>D2/(1000*60*60*24)+25569+10/24</f>
        <v>44761.535178518512</v>
      </c>
      <c r="B2" s="8" t="str">
        <f>IF(AND(G2=21,H2=31),"→",IF(AND(G2=31,H2=21),"←","Error"))</f>
        <v>→</v>
      </c>
      <c r="D2" s="2">
        <v>1658199039424</v>
      </c>
      <c r="E2" t="s">
        <v>0</v>
      </c>
      <c r="F2" s="1">
        <v>8</v>
      </c>
      <c r="G2" s="1">
        <v>21</v>
      </c>
      <c r="H2" s="1">
        <v>31</v>
      </c>
      <c r="I2" s="1">
        <v>7</v>
      </c>
      <c r="J2" s="1" t="s">
        <v>68</v>
      </c>
      <c r="K2" s="1" t="s">
        <v>51</v>
      </c>
      <c r="L2" s="1">
        <v>1</v>
      </c>
      <c r="M2" s="1" t="s">
        <v>96</v>
      </c>
      <c r="N2" s="1" t="s">
        <v>59</v>
      </c>
      <c r="R2" t="str">
        <f>IF(E2="Ok",_xlfn.SWITCH(I2,5,"FURNACE STATUS REPORT Fan:"&amp;IF(_xlfn.BITAND(HEX2DEC(K2),1),"1","0")&amp;" Ignition:"&amp;IF(_xlfn.BITAND(HEX2DEC(K2),2),"1","0")&amp;" Burner:"&amp;IF(_xlfn.BITAND(HEX2DEC(K2),4),"1","0")&amp;" Unknown:"&amp;DEC2HEX(_xlfn.BITAND(HEX2DEC(K2),248)),6,"FURNACE STATUS REQUEST",7,"TIME "&amp;HEX2DEC(J2)&amp;":"&amp;HEX2DEC(K2)&amp;" "&amp;CHOOSE(L2+1,"Mon","Tue","Wed","Thu","Fri","Sat","Sun"),9,"PING FURNACE","0B","TEMPERATURE INFO Set:"&amp;HEX2DEC(K2)&amp;" Actual:"&amp;HEX2DEC(L2)/2&amp;" Countdown:"&amp;HEX2DEC(N2),29,"LONG PING FURNACE","FB","FURNACE STATUS RESPONSE Fan:"&amp;IF(_xlfn.BITAND(HEX2DEC(K2),1),"1","0")&amp;" Ignition:"&amp;IF(_xlfn.BITAND(HEX2DEC(K2),2),"1","0")&amp;" Burner:"&amp;IF(_xlfn.BITAND(HEX2DEC(K2),4),"1","0")&amp;" Unknown:"&amp;DEC2HEX(_xlfn.BITAND(HEX2DEC(K2),248)),"FF","Ack"),"")</f>
        <v>TIME 12:45 Tue</v>
      </c>
    </row>
    <row r="3" spans="1:18" hidden="1" x14ac:dyDescent="0.25">
      <c r="A3" s="3">
        <f t="shared" ref="A3" si="0">D3/(1000*60*60*24)+25569+10/24</f>
        <v>44761.535179849532</v>
      </c>
      <c r="B3" s="8" t="str">
        <f>IF(AND(G3=21,H3=31),"→",IF(AND(G3=31,H3=21),"←","Error"))</f>
        <v>←</v>
      </c>
      <c r="C3" s="11">
        <f>(D3-D2)/1000</f>
        <v>0.115</v>
      </c>
      <c r="D3" s="2">
        <v>1658199039539</v>
      </c>
      <c r="E3" t="s">
        <v>0</v>
      </c>
      <c r="F3" s="1">
        <v>5</v>
      </c>
      <c r="G3" s="1">
        <v>31</v>
      </c>
      <c r="H3" s="1">
        <v>21</v>
      </c>
      <c r="I3" s="1" t="s">
        <v>6</v>
      </c>
      <c r="J3" s="1">
        <v>3</v>
      </c>
      <c r="K3" s="1" t="s">
        <v>7</v>
      </c>
      <c r="R3" t="str">
        <f t="shared" ref="R3:R66" si="1">IF(E3="Ok",_xlfn.SWITCH(I3,5,"FURNACE STATUS REPORT Fan:"&amp;IF(_xlfn.BITAND(HEX2DEC(K3),1),"1","0")&amp;" Ignition:"&amp;IF(_xlfn.BITAND(HEX2DEC(K3),2),"1","0")&amp;" Burner:"&amp;IF(_xlfn.BITAND(HEX2DEC(K3),4),"1","0")&amp;" Unknown:"&amp;DEC2HEX(_xlfn.BITAND(HEX2DEC(K3),248)),6,"FURNACE STATUS REQUEST",7,"TIME "&amp;HEX2DEC(J3)&amp;":"&amp;HEX2DEC(K3)&amp;" "&amp;CHOOSE(L3+1,"Mon","Tue","Wed","Thu","Fri","Sat","Sun"),9,"PING FURNACE","0B","TEMPERATURE INFO Set:"&amp;HEX2DEC(K3)&amp;" Actual:"&amp;HEX2DEC(L3)/2&amp;" Countdown:"&amp;HEX2DEC(N3),29,"LONG PING FURNACE","FB","FURNACE STATUS RESPONSE Fan:"&amp;IF(_xlfn.BITAND(HEX2DEC(K3),1),"1","0")&amp;" Ignition:"&amp;IF(_xlfn.BITAND(HEX2DEC(K3),2),"1","0")&amp;" Burner:"&amp;IF(_xlfn.BITAND(HEX2DEC(K3),4),"1","0")&amp;" Unknown:"&amp;DEC2HEX(_xlfn.BITAND(HEX2DEC(K3),248)),"FF","Ack"),"")</f>
        <v>Ack</v>
      </c>
    </row>
    <row r="4" spans="1:18" hidden="1" x14ac:dyDescent="0.25">
      <c r="A4" s="3">
        <f t="shared" ref="A4:A59" si="2">D4/(1000*60*60*24)+25569+10/24</f>
        <v>44761.53518136574</v>
      </c>
      <c r="B4" s="8" t="str">
        <f t="shared" ref="B4:B59" si="3">IF(AND(G4=21,H4=31),"→",IF(AND(G4=31,H4=21),"←","Error"))</f>
        <v>→</v>
      </c>
      <c r="C4" s="11">
        <f t="shared" ref="C4:C59" si="4">(D4-D3)/1000</f>
        <v>0.13100000000000001</v>
      </c>
      <c r="D4" s="2">
        <v>1658199039670</v>
      </c>
      <c r="E4" t="s">
        <v>0</v>
      </c>
      <c r="F4" s="1">
        <v>5</v>
      </c>
      <c r="G4" s="1">
        <v>21</v>
      </c>
      <c r="H4" s="1">
        <v>31</v>
      </c>
      <c r="I4" s="1">
        <v>8</v>
      </c>
      <c r="J4" s="1" t="s">
        <v>13</v>
      </c>
      <c r="K4" s="1" t="s">
        <v>66</v>
      </c>
      <c r="R4" t="e">
        <f t="shared" si="1"/>
        <v>#N/A</v>
      </c>
    </row>
    <row r="5" spans="1:18" hidden="1" x14ac:dyDescent="0.25">
      <c r="A5" s="3">
        <f t="shared" si="2"/>
        <v>44761.53518274305</v>
      </c>
      <c r="B5" s="8" t="str">
        <f t="shared" si="3"/>
        <v>←</v>
      </c>
      <c r="C5" s="11">
        <f t="shared" si="4"/>
        <v>0.11899999999999999</v>
      </c>
      <c r="D5" s="2">
        <v>1658199039789</v>
      </c>
      <c r="E5" t="s">
        <v>0</v>
      </c>
      <c r="F5" s="1">
        <v>5</v>
      </c>
      <c r="G5" s="1">
        <v>31</v>
      </c>
      <c r="H5" s="1">
        <v>21</v>
      </c>
      <c r="I5" s="1" t="s">
        <v>6</v>
      </c>
      <c r="J5" s="1">
        <v>3</v>
      </c>
      <c r="K5" s="1" t="s">
        <v>7</v>
      </c>
      <c r="R5" t="str">
        <f t="shared" si="1"/>
        <v>Ack</v>
      </c>
    </row>
    <row r="6" spans="1:18" hidden="1" x14ac:dyDescent="0.25">
      <c r="A6" s="3">
        <f t="shared" si="2"/>
        <v>44761.535183900465</v>
      </c>
      <c r="B6" s="8" t="str">
        <f t="shared" si="3"/>
        <v>→</v>
      </c>
      <c r="C6" s="11">
        <f t="shared" si="4"/>
        <v>0.1</v>
      </c>
      <c r="D6" s="2">
        <v>1658199039889</v>
      </c>
      <c r="E6" t="s">
        <v>0</v>
      </c>
      <c r="F6" s="1">
        <v>6</v>
      </c>
      <c r="G6" s="1">
        <v>21</v>
      </c>
      <c r="H6" s="1">
        <v>31</v>
      </c>
      <c r="I6" s="1" t="s">
        <v>34</v>
      </c>
      <c r="J6" s="1">
        <v>0</v>
      </c>
      <c r="K6" s="1" t="s">
        <v>64</v>
      </c>
      <c r="L6" s="1" t="s">
        <v>89</v>
      </c>
      <c r="R6" t="e">
        <f t="shared" si="1"/>
        <v>#N/A</v>
      </c>
    </row>
    <row r="7" spans="1:18" hidden="1" x14ac:dyDescent="0.25">
      <c r="A7" s="3">
        <f t="shared" si="2"/>
        <v>44761.535185081018</v>
      </c>
      <c r="B7" s="8" t="str">
        <f t="shared" si="3"/>
        <v>←</v>
      </c>
      <c r="C7" s="11">
        <f t="shared" si="4"/>
        <v>0.10199999999999999</v>
      </c>
      <c r="D7" s="2">
        <v>1658199039991</v>
      </c>
      <c r="E7" t="s">
        <v>0</v>
      </c>
      <c r="F7" s="1">
        <v>5</v>
      </c>
      <c r="G7" s="1">
        <v>31</v>
      </c>
      <c r="H7" s="1">
        <v>21</v>
      </c>
      <c r="I7" s="1" t="s">
        <v>6</v>
      </c>
      <c r="J7" s="1">
        <v>3</v>
      </c>
      <c r="K7" s="1" t="s">
        <v>7</v>
      </c>
      <c r="R7" t="str">
        <f t="shared" si="1"/>
        <v>Ack</v>
      </c>
    </row>
    <row r="8" spans="1:18" hidden="1" x14ac:dyDescent="0.25">
      <c r="A8" s="3">
        <f t="shared" si="2"/>
        <v>44761.535186226851</v>
      </c>
      <c r="B8" s="8" t="str">
        <f t="shared" si="3"/>
        <v>→</v>
      </c>
      <c r="C8" s="11">
        <f t="shared" si="4"/>
        <v>9.9000000000000005E-2</v>
      </c>
      <c r="D8" s="2">
        <v>1658199040090</v>
      </c>
      <c r="E8" t="s">
        <v>0</v>
      </c>
      <c r="F8" s="1">
        <v>5</v>
      </c>
      <c r="G8" s="1">
        <v>21</v>
      </c>
      <c r="H8" s="1">
        <v>31</v>
      </c>
      <c r="I8" s="1">
        <v>6</v>
      </c>
      <c r="J8" s="1">
        <v>60</v>
      </c>
      <c r="K8" s="1">
        <v>83</v>
      </c>
      <c r="R8" t="str">
        <f t="shared" si="1"/>
        <v>FURNACE STATUS REQUEST</v>
      </c>
    </row>
    <row r="9" spans="1:18" hidden="1" x14ac:dyDescent="0.25">
      <c r="A9" s="3">
        <f t="shared" si="2"/>
        <v>44761.535188090274</v>
      </c>
      <c r="B9" s="8" t="str">
        <f t="shared" si="3"/>
        <v>←</v>
      </c>
      <c r="C9" s="11">
        <f t="shared" si="4"/>
        <v>0.161</v>
      </c>
      <c r="D9" s="2">
        <v>1658199040251</v>
      </c>
      <c r="E9" t="s">
        <v>0</v>
      </c>
      <c r="F9" s="1">
        <v>9</v>
      </c>
      <c r="G9" s="1">
        <v>31</v>
      </c>
      <c r="H9" s="1">
        <v>21</v>
      </c>
      <c r="I9" s="1" t="s">
        <v>1</v>
      </c>
      <c r="J9" s="1">
        <v>0</v>
      </c>
      <c r="K9" s="1">
        <v>0</v>
      </c>
      <c r="L9" s="1">
        <v>0</v>
      </c>
      <c r="M9" s="1">
        <v>0</v>
      </c>
      <c r="N9" s="1" t="s">
        <v>21</v>
      </c>
      <c r="O9" s="1" t="s">
        <v>22</v>
      </c>
      <c r="R9" t="str">
        <f t="shared" si="1"/>
        <v>FURNACE STATUS RESPONSE Fan:0 Ignition:0 Burner:0 Unknown:0</v>
      </c>
    </row>
    <row r="10" spans="1:18" hidden="1" x14ac:dyDescent="0.25">
      <c r="A10" s="3">
        <f t="shared" si="2"/>
        <v>44761.53587310185</v>
      </c>
      <c r="B10" s="8" t="str">
        <f t="shared" si="3"/>
        <v>→</v>
      </c>
      <c r="C10" s="11">
        <f t="shared" si="4"/>
        <v>59.185000000000002</v>
      </c>
      <c r="D10" s="2">
        <v>1658199099436</v>
      </c>
      <c r="E10" t="s">
        <v>0</v>
      </c>
      <c r="F10" s="1">
        <v>8</v>
      </c>
      <c r="G10" s="1">
        <v>21</v>
      </c>
      <c r="H10" s="1">
        <v>31</v>
      </c>
      <c r="I10" s="1">
        <v>7</v>
      </c>
      <c r="J10" s="1" t="s">
        <v>68</v>
      </c>
      <c r="K10" s="1" t="s">
        <v>53</v>
      </c>
      <c r="L10" s="1">
        <v>1</v>
      </c>
      <c r="M10" s="1" t="s">
        <v>97</v>
      </c>
      <c r="N10" s="1" t="s">
        <v>59</v>
      </c>
      <c r="R10" t="str">
        <f t="shared" si="1"/>
        <v>TIME 12:46 Tue</v>
      </c>
    </row>
    <row r="11" spans="1:18" hidden="1" x14ac:dyDescent="0.25">
      <c r="A11" s="3">
        <f t="shared" si="2"/>
        <v>44761.535874421294</v>
      </c>
      <c r="B11" s="8" t="str">
        <f t="shared" si="3"/>
        <v>←</v>
      </c>
      <c r="C11" s="11">
        <f t="shared" si="4"/>
        <v>0.114</v>
      </c>
      <c r="D11" s="2">
        <v>1658199099550</v>
      </c>
      <c r="E11" t="s">
        <v>0</v>
      </c>
      <c r="F11" s="1">
        <v>5</v>
      </c>
      <c r="G11" s="1">
        <v>31</v>
      </c>
      <c r="H11" s="1">
        <v>21</v>
      </c>
      <c r="I11" s="1" t="s">
        <v>6</v>
      </c>
      <c r="J11" s="1">
        <v>3</v>
      </c>
      <c r="K11" s="1" t="s">
        <v>7</v>
      </c>
      <c r="R11" t="str">
        <f t="shared" si="1"/>
        <v>Ack</v>
      </c>
    </row>
    <row r="12" spans="1:18" hidden="1" x14ac:dyDescent="0.25">
      <c r="A12" s="3">
        <f t="shared" si="2"/>
        <v>44761.535875694441</v>
      </c>
      <c r="B12" s="8" t="str">
        <f t="shared" si="3"/>
        <v>→</v>
      </c>
      <c r="C12" s="11">
        <f t="shared" si="4"/>
        <v>0.11</v>
      </c>
      <c r="D12" s="2">
        <v>1658199099660</v>
      </c>
      <c r="E12" t="s">
        <v>0</v>
      </c>
      <c r="F12" s="1">
        <v>5</v>
      </c>
      <c r="G12" s="1">
        <v>21</v>
      </c>
      <c r="H12" s="1">
        <v>31</v>
      </c>
      <c r="I12" s="1">
        <v>8</v>
      </c>
      <c r="J12" s="1" t="s">
        <v>13</v>
      </c>
      <c r="K12" s="1" t="s">
        <v>66</v>
      </c>
      <c r="R12" t="e">
        <f t="shared" si="1"/>
        <v>#N/A</v>
      </c>
    </row>
    <row r="13" spans="1:18" hidden="1" x14ac:dyDescent="0.25">
      <c r="A13" s="3">
        <f t="shared" si="2"/>
        <v>44761.535876979164</v>
      </c>
      <c r="B13" s="8" t="str">
        <f t="shared" si="3"/>
        <v>←</v>
      </c>
      <c r="C13" s="11">
        <f t="shared" si="4"/>
        <v>0.111</v>
      </c>
      <c r="D13" s="2">
        <v>1658199099771</v>
      </c>
      <c r="E13" t="s">
        <v>0</v>
      </c>
      <c r="F13" s="1">
        <v>5</v>
      </c>
      <c r="G13" s="1">
        <v>31</v>
      </c>
      <c r="H13" s="1">
        <v>21</v>
      </c>
      <c r="I13" s="1" t="s">
        <v>6</v>
      </c>
      <c r="J13" s="1">
        <v>3</v>
      </c>
      <c r="K13" s="1" t="s">
        <v>7</v>
      </c>
      <c r="R13" t="str">
        <f t="shared" si="1"/>
        <v>Ack</v>
      </c>
    </row>
    <row r="14" spans="1:18" hidden="1" x14ac:dyDescent="0.25">
      <c r="A14" s="3">
        <f t="shared" si="2"/>
        <v>44761.535878009257</v>
      </c>
      <c r="B14" s="8" t="str">
        <f t="shared" si="3"/>
        <v>→</v>
      </c>
      <c r="C14" s="11">
        <f t="shared" si="4"/>
        <v>8.8999999999999996E-2</v>
      </c>
      <c r="D14" s="2">
        <v>1658199099860</v>
      </c>
      <c r="E14" t="s">
        <v>0</v>
      </c>
      <c r="F14" s="1">
        <v>6</v>
      </c>
      <c r="G14" s="1">
        <v>21</v>
      </c>
      <c r="H14" s="1">
        <v>31</v>
      </c>
      <c r="I14" s="1" t="s">
        <v>34</v>
      </c>
      <c r="J14" s="1">
        <v>0</v>
      </c>
      <c r="K14" s="1" t="s">
        <v>64</v>
      </c>
      <c r="L14" s="1" t="s">
        <v>89</v>
      </c>
      <c r="R14" t="e">
        <f t="shared" si="1"/>
        <v>#N/A</v>
      </c>
    </row>
    <row r="15" spans="1:18" hidden="1" x14ac:dyDescent="0.25">
      <c r="A15" s="3">
        <f t="shared" si="2"/>
        <v>44761.535879201387</v>
      </c>
      <c r="B15" s="8" t="str">
        <f t="shared" si="3"/>
        <v>←</v>
      </c>
      <c r="C15" s="11">
        <f t="shared" si="4"/>
        <v>0.10299999999999999</v>
      </c>
      <c r="D15" s="2">
        <v>1658199099963</v>
      </c>
      <c r="E15" t="s">
        <v>0</v>
      </c>
      <c r="F15" s="1">
        <v>5</v>
      </c>
      <c r="G15" s="1">
        <v>31</v>
      </c>
      <c r="H15" s="1">
        <v>21</v>
      </c>
      <c r="I15" s="1" t="s">
        <v>6</v>
      </c>
      <c r="J15" s="1">
        <v>3</v>
      </c>
      <c r="K15" s="1" t="s">
        <v>7</v>
      </c>
      <c r="R15" t="str">
        <f t="shared" si="1"/>
        <v>Ack</v>
      </c>
    </row>
    <row r="16" spans="1:18" hidden="1" x14ac:dyDescent="0.25">
      <c r="A16" s="3">
        <f t="shared" si="2"/>
        <v>44761.535880300922</v>
      </c>
      <c r="B16" s="8" t="str">
        <f t="shared" si="3"/>
        <v>→</v>
      </c>
      <c r="C16" s="11">
        <f t="shared" si="4"/>
        <v>9.5000000000000001E-2</v>
      </c>
      <c r="D16" s="2">
        <v>1658199100058</v>
      </c>
      <c r="E16" t="s">
        <v>0</v>
      </c>
      <c r="F16" s="1">
        <v>5</v>
      </c>
      <c r="G16" s="1">
        <v>21</v>
      </c>
      <c r="H16" s="1">
        <v>31</v>
      </c>
      <c r="I16" s="1">
        <v>6</v>
      </c>
      <c r="J16" s="1">
        <v>60</v>
      </c>
      <c r="K16" s="1">
        <v>83</v>
      </c>
      <c r="R16" t="str">
        <f t="shared" si="1"/>
        <v>FURNACE STATUS REQUEST</v>
      </c>
    </row>
    <row r="17" spans="1:18" hidden="1" x14ac:dyDescent="0.25">
      <c r="A17" s="3">
        <f t="shared" si="2"/>
        <v>44761.535882071759</v>
      </c>
      <c r="B17" s="8" t="str">
        <f t="shared" si="3"/>
        <v>←</v>
      </c>
      <c r="C17" s="11">
        <f t="shared" si="4"/>
        <v>0.153</v>
      </c>
      <c r="D17" s="2">
        <v>1658199100211</v>
      </c>
      <c r="E17" t="s">
        <v>0</v>
      </c>
      <c r="F17" s="1">
        <v>9</v>
      </c>
      <c r="G17" s="1">
        <v>31</v>
      </c>
      <c r="H17" s="1">
        <v>21</v>
      </c>
      <c r="I17" s="1" t="s">
        <v>1</v>
      </c>
      <c r="J17" s="1">
        <v>0</v>
      </c>
      <c r="K17" s="1">
        <v>0</v>
      </c>
      <c r="L17" s="1">
        <v>0</v>
      </c>
      <c r="M17" s="1">
        <v>0</v>
      </c>
      <c r="N17" s="1" t="s">
        <v>21</v>
      </c>
      <c r="O17" s="1" t="s">
        <v>22</v>
      </c>
      <c r="R17" t="str">
        <f t="shared" si="1"/>
        <v>FURNACE STATUS RESPONSE Fan:0 Ignition:0 Burner:0 Unknown:0</v>
      </c>
    </row>
    <row r="18" spans="1:18" hidden="1" x14ac:dyDescent="0.25">
      <c r="A18" s="3">
        <f t="shared" si="2"/>
        <v>44761.535972175923</v>
      </c>
      <c r="B18" s="8" t="str">
        <f t="shared" si="3"/>
        <v>→</v>
      </c>
      <c r="C18" s="11">
        <f t="shared" si="4"/>
        <v>7.7850000000000001</v>
      </c>
      <c r="D18" s="2">
        <v>1658199107996</v>
      </c>
      <c r="E18" t="s">
        <v>0</v>
      </c>
      <c r="F18" s="1">
        <v>5</v>
      </c>
      <c r="G18" s="1">
        <v>21</v>
      </c>
      <c r="H18" s="1">
        <v>31</v>
      </c>
      <c r="I18" s="1">
        <v>9</v>
      </c>
      <c r="J18" s="1">
        <v>60</v>
      </c>
      <c r="K18" s="1" t="s">
        <v>11</v>
      </c>
      <c r="R18" t="str">
        <f t="shared" si="1"/>
        <v>PING FURNACE</v>
      </c>
    </row>
    <row r="19" spans="1:18" hidden="1" x14ac:dyDescent="0.25">
      <c r="A19" s="3">
        <f t="shared" si="2"/>
        <v>44761.53597365741</v>
      </c>
      <c r="B19" s="8" t="str">
        <f t="shared" si="3"/>
        <v>←</v>
      </c>
      <c r="C19" s="11">
        <f t="shared" si="4"/>
        <v>0.128</v>
      </c>
      <c r="D19" s="2">
        <v>1658199108124</v>
      </c>
      <c r="E19" t="s">
        <v>0</v>
      </c>
      <c r="F19" s="1">
        <v>5</v>
      </c>
      <c r="G19" s="1">
        <v>31</v>
      </c>
      <c r="H19" s="1">
        <v>21</v>
      </c>
      <c r="I19" s="1" t="s">
        <v>6</v>
      </c>
      <c r="J19" s="1">
        <v>3</v>
      </c>
      <c r="K19" s="1" t="s">
        <v>7</v>
      </c>
      <c r="R19" t="str">
        <f t="shared" si="1"/>
        <v>Ack</v>
      </c>
    </row>
    <row r="20" spans="1:18" hidden="1" x14ac:dyDescent="0.25">
      <c r="A20" s="3">
        <f t="shared" si="2"/>
        <v>44761.535975578699</v>
      </c>
      <c r="B20" s="8" t="str">
        <f t="shared" si="3"/>
        <v>→</v>
      </c>
      <c r="C20" s="11">
        <f t="shared" si="4"/>
        <v>0.16600000000000001</v>
      </c>
      <c r="D20" s="2">
        <v>1658199108290</v>
      </c>
      <c r="E20" t="s">
        <v>0</v>
      </c>
      <c r="F20" s="1" t="s">
        <v>3</v>
      </c>
      <c r="G20" s="1">
        <v>21</v>
      </c>
      <c r="H20" s="1">
        <v>31</v>
      </c>
      <c r="I20" s="1" t="s">
        <v>3</v>
      </c>
      <c r="J20" s="1">
        <v>0</v>
      </c>
      <c r="K20" s="1">
        <v>0</v>
      </c>
      <c r="L20" s="1">
        <v>21</v>
      </c>
      <c r="M20" s="1">
        <v>0</v>
      </c>
      <c r="N20" s="1">
        <v>0</v>
      </c>
      <c r="O20" s="1">
        <v>0</v>
      </c>
      <c r="P20" s="1">
        <v>65</v>
      </c>
      <c r="Q20" s="1" t="s">
        <v>39</v>
      </c>
      <c r="R20" t="str">
        <f t="shared" si="1"/>
        <v>TEMPERATURE INFO Set:0 Actual:16.5 Countdown:0</v>
      </c>
    </row>
    <row r="21" spans="1:18" hidden="1" x14ac:dyDescent="0.25">
      <c r="A21" s="3">
        <f t="shared" si="2"/>
        <v>44761.535976817126</v>
      </c>
      <c r="B21" s="8" t="str">
        <f t="shared" si="3"/>
        <v>←</v>
      </c>
      <c r="C21" s="11">
        <f t="shared" si="4"/>
        <v>0.107</v>
      </c>
      <c r="D21" s="2">
        <v>1658199108397</v>
      </c>
      <c r="E21" t="s">
        <v>0</v>
      </c>
      <c r="F21" s="1">
        <v>5</v>
      </c>
      <c r="G21" s="1">
        <v>31</v>
      </c>
      <c r="H21" s="1">
        <v>21</v>
      </c>
      <c r="I21" s="1" t="s">
        <v>6</v>
      </c>
      <c r="J21" s="1">
        <v>3</v>
      </c>
      <c r="K21" s="1" t="s">
        <v>7</v>
      </c>
      <c r="R21" t="str">
        <f t="shared" si="1"/>
        <v>Ack</v>
      </c>
    </row>
    <row r="22" spans="1:18" x14ac:dyDescent="0.25">
      <c r="A22" s="3">
        <f t="shared" si="2"/>
        <v>44761.535978067128</v>
      </c>
      <c r="B22" s="8" t="str">
        <f t="shared" si="3"/>
        <v>→</v>
      </c>
      <c r="C22" s="11">
        <f t="shared" si="4"/>
        <v>0.108</v>
      </c>
      <c r="D22" s="2">
        <v>1658199108505</v>
      </c>
      <c r="E22" t="s">
        <v>0</v>
      </c>
      <c r="F22" s="1">
        <v>6</v>
      </c>
      <c r="G22" s="1">
        <v>21</v>
      </c>
      <c r="H22" s="1">
        <v>31</v>
      </c>
      <c r="I22" s="1">
        <v>29</v>
      </c>
      <c r="J22" s="1">
        <v>0</v>
      </c>
      <c r="K22" s="1" t="s">
        <v>13</v>
      </c>
      <c r="L22" s="1" t="s">
        <v>14</v>
      </c>
      <c r="R22" t="str">
        <f t="shared" si="1"/>
        <v>LONG PING FURNACE</v>
      </c>
    </row>
    <row r="23" spans="1:18" hidden="1" x14ac:dyDescent="0.25">
      <c r="A23" s="3">
        <f t="shared" si="2"/>
        <v>44761.535979247681</v>
      </c>
      <c r="B23" s="8" t="str">
        <f t="shared" si="3"/>
        <v>←</v>
      </c>
      <c r="C23" s="11">
        <f t="shared" si="4"/>
        <v>0.10199999999999999</v>
      </c>
      <c r="D23" s="2">
        <v>1658199108607</v>
      </c>
      <c r="E23" t="s">
        <v>0</v>
      </c>
      <c r="F23" s="1">
        <v>5</v>
      </c>
      <c r="G23" s="1">
        <v>31</v>
      </c>
      <c r="H23" s="1">
        <v>21</v>
      </c>
      <c r="I23" s="1" t="s">
        <v>6</v>
      </c>
      <c r="J23" s="1">
        <v>3</v>
      </c>
      <c r="K23" s="1" t="s">
        <v>7</v>
      </c>
      <c r="R23" t="str">
        <f t="shared" si="1"/>
        <v>Ack</v>
      </c>
    </row>
    <row r="24" spans="1:18" hidden="1" x14ac:dyDescent="0.25">
      <c r="A24" s="3">
        <f t="shared" si="2"/>
        <v>44761.536567442126</v>
      </c>
      <c r="B24" s="8" t="str">
        <f t="shared" si="3"/>
        <v>→</v>
      </c>
      <c r="C24" s="11">
        <f t="shared" si="4"/>
        <v>50.82</v>
      </c>
      <c r="D24" s="2">
        <v>1658199159427</v>
      </c>
      <c r="E24" t="s">
        <v>0</v>
      </c>
      <c r="F24" s="1">
        <v>8</v>
      </c>
      <c r="G24" s="1">
        <v>21</v>
      </c>
      <c r="H24" s="1">
        <v>31</v>
      </c>
      <c r="I24" s="1">
        <v>7</v>
      </c>
      <c r="J24" s="1" t="s">
        <v>68</v>
      </c>
      <c r="K24" s="1" t="s">
        <v>54</v>
      </c>
      <c r="L24" s="1">
        <v>1</v>
      </c>
      <c r="M24" s="1">
        <v>76</v>
      </c>
      <c r="N24" s="1" t="s">
        <v>111</v>
      </c>
      <c r="R24" t="str">
        <f t="shared" si="1"/>
        <v>TIME 12:47 Tue</v>
      </c>
    </row>
    <row r="25" spans="1:18" hidden="1" x14ac:dyDescent="0.25">
      <c r="A25" s="3">
        <f t="shared" si="2"/>
        <v>44761.5365686574</v>
      </c>
      <c r="B25" s="8" t="str">
        <f t="shared" si="3"/>
        <v>←</v>
      </c>
      <c r="C25" s="11">
        <f t="shared" si="4"/>
        <v>0.105</v>
      </c>
      <c r="D25" s="2">
        <v>1658199159532</v>
      </c>
      <c r="E25" t="s">
        <v>0</v>
      </c>
      <c r="F25" s="1">
        <v>5</v>
      </c>
      <c r="G25" s="1">
        <v>31</v>
      </c>
      <c r="H25" s="1">
        <v>21</v>
      </c>
      <c r="I25" s="1" t="s">
        <v>6</v>
      </c>
      <c r="J25" s="1">
        <v>3</v>
      </c>
      <c r="K25" s="1" t="s">
        <v>7</v>
      </c>
      <c r="R25" t="str">
        <f t="shared" si="1"/>
        <v>Ack</v>
      </c>
    </row>
    <row r="26" spans="1:18" hidden="1" x14ac:dyDescent="0.25">
      <c r="A26" s="3">
        <f t="shared" si="2"/>
        <v>44761.536569837961</v>
      </c>
      <c r="B26" s="8" t="str">
        <f t="shared" si="3"/>
        <v>→</v>
      </c>
      <c r="C26" s="11">
        <f t="shared" si="4"/>
        <v>0.10199999999999999</v>
      </c>
      <c r="D26" s="2">
        <v>1658199159634</v>
      </c>
      <c r="E26" t="s">
        <v>0</v>
      </c>
      <c r="F26" s="1">
        <v>5</v>
      </c>
      <c r="G26" s="1">
        <v>21</v>
      </c>
      <c r="H26" s="1">
        <v>31</v>
      </c>
      <c r="I26" s="1">
        <v>9</v>
      </c>
      <c r="J26" s="1">
        <v>60</v>
      </c>
      <c r="K26" s="1" t="s">
        <v>11</v>
      </c>
      <c r="R26" t="str">
        <f t="shared" si="1"/>
        <v>PING FURNACE</v>
      </c>
    </row>
    <row r="27" spans="1:18" hidden="1" x14ac:dyDescent="0.25">
      <c r="A27" s="3">
        <f t="shared" si="2"/>
        <v>44761.536571226847</v>
      </c>
      <c r="B27" s="8" t="str">
        <f t="shared" si="3"/>
        <v>←</v>
      </c>
      <c r="C27" s="11">
        <f t="shared" si="4"/>
        <v>0.12</v>
      </c>
      <c r="D27" s="2">
        <v>1658199159754</v>
      </c>
      <c r="E27" t="s">
        <v>0</v>
      </c>
      <c r="F27" s="1">
        <v>5</v>
      </c>
      <c r="G27" s="1">
        <v>31</v>
      </c>
      <c r="H27" s="1">
        <v>21</v>
      </c>
      <c r="I27" s="1" t="s">
        <v>6</v>
      </c>
      <c r="J27" s="1">
        <v>3</v>
      </c>
      <c r="K27" s="1" t="s">
        <v>7</v>
      </c>
      <c r="R27" t="str">
        <f t="shared" si="1"/>
        <v>Ack</v>
      </c>
    </row>
    <row r="28" spans="1:18" hidden="1" x14ac:dyDescent="0.25">
      <c r="A28" s="3">
        <f t="shared" si="2"/>
        <v>44761.536572893521</v>
      </c>
      <c r="B28" s="8" t="str">
        <f t="shared" si="3"/>
        <v>→</v>
      </c>
      <c r="C28" s="11">
        <f t="shared" si="4"/>
        <v>0.14399999999999999</v>
      </c>
      <c r="D28" s="2">
        <v>1658199159898</v>
      </c>
      <c r="E28" t="s">
        <v>0</v>
      </c>
      <c r="F28" s="1" t="s">
        <v>3</v>
      </c>
      <c r="G28" s="1">
        <v>21</v>
      </c>
      <c r="H28" s="1">
        <v>31</v>
      </c>
      <c r="I28" s="1" t="s">
        <v>3</v>
      </c>
      <c r="J28" s="1">
        <v>0</v>
      </c>
      <c r="K28" s="1" t="s">
        <v>74</v>
      </c>
      <c r="L28" s="1">
        <v>21</v>
      </c>
      <c r="M28" s="1">
        <v>1</v>
      </c>
      <c r="N28" s="1">
        <v>0</v>
      </c>
      <c r="O28" s="1">
        <v>0</v>
      </c>
      <c r="P28" s="1" t="s">
        <v>112</v>
      </c>
      <c r="Q28" s="1" t="s">
        <v>91</v>
      </c>
      <c r="R28" t="str">
        <f t="shared" si="1"/>
        <v>TEMPERATURE INFO Set:15 Actual:16.5 Countdown:0</v>
      </c>
    </row>
    <row r="29" spans="1:18" hidden="1" x14ac:dyDescent="0.25">
      <c r="A29" s="3">
        <f t="shared" si="2"/>
        <v>44761.536574328704</v>
      </c>
      <c r="B29" s="8" t="str">
        <f t="shared" si="3"/>
        <v>←</v>
      </c>
      <c r="C29" s="11">
        <f t="shared" si="4"/>
        <v>0.124</v>
      </c>
      <c r="D29" s="2">
        <v>1658199160022</v>
      </c>
      <c r="E29" t="s">
        <v>0</v>
      </c>
      <c r="F29" s="1">
        <v>5</v>
      </c>
      <c r="G29" s="1">
        <v>31</v>
      </c>
      <c r="H29" s="1">
        <v>21</v>
      </c>
      <c r="I29" s="1" t="s">
        <v>6</v>
      </c>
      <c r="J29" s="1">
        <v>3</v>
      </c>
      <c r="K29" s="1" t="s">
        <v>7</v>
      </c>
      <c r="R29" t="str">
        <f t="shared" si="1"/>
        <v>Ack</v>
      </c>
    </row>
    <row r="30" spans="1:18" x14ac:dyDescent="0.25">
      <c r="A30" s="3">
        <f t="shared" si="2"/>
        <v>44761.536575381942</v>
      </c>
      <c r="B30" s="8" t="str">
        <f t="shared" si="3"/>
        <v>→</v>
      </c>
      <c r="C30" s="11">
        <f t="shared" si="4"/>
        <v>9.0999999999999998E-2</v>
      </c>
      <c r="D30" s="2">
        <v>1658199160113</v>
      </c>
      <c r="E30" t="s">
        <v>0</v>
      </c>
      <c r="F30" s="1">
        <v>6</v>
      </c>
      <c r="G30" s="1">
        <v>21</v>
      </c>
      <c r="H30" s="1">
        <v>31</v>
      </c>
      <c r="I30" s="1">
        <v>29</v>
      </c>
      <c r="J30" s="1">
        <v>0</v>
      </c>
      <c r="K30" s="1" t="s">
        <v>13</v>
      </c>
      <c r="L30" s="1" t="s">
        <v>14</v>
      </c>
      <c r="R30" t="str">
        <f t="shared" si="1"/>
        <v>LONG PING FURNACE</v>
      </c>
    </row>
    <row r="31" spans="1:18" hidden="1" x14ac:dyDescent="0.25">
      <c r="A31" s="3">
        <f t="shared" si="2"/>
        <v>44761.53657679398</v>
      </c>
      <c r="B31" s="8" t="str">
        <f t="shared" si="3"/>
        <v>←</v>
      </c>
      <c r="C31" s="11">
        <f t="shared" si="4"/>
        <v>0.122</v>
      </c>
      <c r="D31" s="2">
        <v>1658199160235</v>
      </c>
      <c r="E31" t="s">
        <v>0</v>
      </c>
      <c r="F31" s="1">
        <v>5</v>
      </c>
      <c r="G31" s="1">
        <v>31</v>
      </c>
      <c r="H31" s="1">
        <v>21</v>
      </c>
      <c r="I31" s="1" t="s">
        <v>6</v>
      </c>
      <c r="J31" s="1">
        <v>3</v>
      </c>
      <c r="K31" s="1" t="s">
        <v>7</v>
      </c>
      <c r="R31" t="str">
        <f t="shared" si="1"/>
        <v>Ack</v>
      </c>
    </row>
    <row r="32" spans="1:18" hidden="1" x14ac:dyDescent="0.25">
      <c r="A32" s="3">
        <f t="shared" si="2"/>
        <v>44761.536577650462</v>
      </c>
      <c r="B32" s="8" t="str">
        <f t="shared" si="3"/>
        <v>→</v>
      </c>
      <c r="C32" s="11">
        <f t="shared" si="4"/>
        <v>7.3999999999999996E-2</v>
      </c>
      <c r="D32" s="2">
        <v>1658199160309</v>
      </c>
      <c r="E32" t="s">
        <v>0</v>
      </c>
      <c r="F32" s="1">
        <v>5</v>
      </c>
      <c r="G32" s="1">
        <v>21</v>
      </c>
      <c r="H32" s="1">
        <v>31</v>
      </c>
      <c r="I32" s="1">
        <v>6</v>
      </c>
      <c r="J32" s="1">
        <v>60</v>
      </c>
      <c r="K32" s="1">
        <v>83</v>
      </c>
      <c r="R32" t="str">
        <f t="shared" si="1"/>
        <v>FURNACE STATUS REQUEST</v>
      </c>
    </row>
    <row r="33" spans="1:18" hidden="1" x14ac:dyDescent="0.25">
      <c r="A33" s="3">
        <f t="shared" si="2"/>
        <v>44761.536579930551</v>
      </c>
      <c r="B33" s="8" t="str">
        <f t="shared" si="3"/>
        <v>←</v>
      </c>
      <c r="C33" s="11">
        <f t="shared" si="4"/>
        <v>0.19700000000000001</v>
      </c>
      <c r="D33" s="2">
        <v>1658199160506</v>
      </c>
      <c r="E33" t="s">
        <v>0</v>
      </c>
      <c r="F33" s="1">
        <v>9</v>
      </c>
      <c r="G33" s="1">
        <v>31</v>
      </c>
      <c r="H33" s="1">
        <v>21</v>
      </c>
      <c r="I33" s="1" t="s">
        <v>1</v>
      </c>
      <c r="J33" s="1">
        <v>0</v>
      </c>
      <c r="K33" s="1">
        <v>0</v>
      </c>
      <c r="L33" s="1">
        <v>0</v>
      </c>
      <c r="M33" s="1">
        <v>0</v>
      </c>
      <c r="N33" s="1" t="s">
        <v>21</v>
      </c>
      <c r="O33" s="1" t="s">
        <v>22</v>
      </c>
      <c r="R33" t="str">
        <f t="shared" si="1"/>
        <v>FURNACE STATUS RESPONSE Fan:0 Ignition:0 Burner:0 Unknown:0</v>
      </c>
    </row>
    <row r="34" spans="1:18" hidden="1" x14ac:dyDescent="0.25">
      <c r="A34" s="3">
        <f t="shared" si="2"/>
        <v>44761.536597384256</v>
      </c>
      <c r="B34" s="8" t="str">
        <f t="shared" si="3"/>
        <v>→</v>
      </c>
      <c r="C34" s="11">
        <f t="shared" si="4"/>
        <v>1.508</v>
      </c>
      <c r="D34" s="2">
        <v>1658199162014</v>
      </c>
      <c r="E34" t="s">
        <v>0</v>
      </c>
      <c r="F34" s="1" t="s">
        <v>3</v>
      </c>
      <c r="G34" s="1">
        <v>21</v>
      </c>
      <c r="H34" s="1">
        <v>31</v>
      </c>
      <c r="I34" s="1" t="s">
        <v>3</v>
      </c>
      <c r="J34" s="1" t="s">
        <v>6</v>
      </c>
      <c r="K34" s="1">
        <v>11</v>
      </c>
      <c r="L34" s="1">
        <v>21</v>
      </c>
      <c r="M34" s="1">
        <v>1</v>
      </c>
      <c r="N34" s="1" t="s">
        <v>4</v>
      </c>
      <c r="O34" s="1">
        <v>0</v>
      </c>
      <c r="P34" s="1">
        <v>72</v>
      </c>
      <c r="Q34" s="1" t="s">
        <v>97</v>
      </c>
      <c r="R34" t="str">
        <f t="shared" si="1"/>
        <v>TEMPERATURE INFO Set:17 Actual:16.5 Countdown:180</v>
      </c>
    </row>
    <row r="35" spans="1:18" hidden="1" x14ac:dyDescent="0.25">
      <c r="A35" s="3">
        <f t="shared" si="2"/>
        <v>44761.536598877312</v>
      </c>
      <c r="B35" s="8" t="str">
        <f t="shared" si="3"/>
        <v>←</v>
      </c>
      <c r="C35" s="11">
        <f t="shared" si="4"/>
        <v>0.129</v>
      </c>
      <c r="D35" s="2">
        <v>1658199162143</v>
      </c>
      <c r="E35" t="s">
        <v>0</v>
      </c>
      <c r="F35" s="1">
        <v>5</v>
      </c>
      <c r="G35" s="1">
        <v>31</v>
      </c>
      <c r="H35" s="1">
        <v>21</v>
      </c>
      <c r="I35" s="1" t="s">
        <v>6</v>
      </c>
      <c r="J35" s="1">
        <v>3</v>
      </c>
      <c r="K35" s="1" t="s">
        <v>7</v>
      </c>
      <c r="R35" t="str">
        <f t="shared" si="1"/>
        <v>Ack</v>
      </c>
    </row>
    <row r="36" spans="1:18" hidden="1" x14ac:dyDescent="0.25">
      <c r="A36" s="3">
        <f t="shared" si="2"/>
        <v>44761.536600949075</v>
      </c>
      <c r="B36" s="8" t="str">
        <f t="shared" si="3"/>
        <v>←</v>
      </c>
      <c r="C36" s="11">
        <f t="shared" si="4"/>
        <v>0.17899999999999999</v>
      </c>
      <c r="D36" s="2">
        <v>1658199162322</v>
      </c>
      <c r="E36" t="s">
        <v>0</v>
      </c>
      <c r="F36" s="1">
        <v>9</v>
      </c>
      <c r="G36" s="1">
        <v>31</v>
      </c>
      <c r="H36" s="1">
        <v>21</v>
      </c>
      <c r="I36" s="1">
        <v>5</v>
      </c>
      <c r="J36" s="1">
        <v>0</v>
      </c>
      <c r="K36" s="1">
        <v>23</v>
      </c>
      <c r="L36" s="1">
        <v>0</v>
      </c>
      <c r="M36" s="1">
        <v>0</v>
      </c>
      <c r="N36" s="1" t="s">
        <v>8</v>
      </c>
      <c r="O36" s="1">
        <v>20</v>
      </c>
      <c r="R36" t="str">
        <f t="shared" si="1"/>
        <v>FURNACE STATUS REPORT Fan:1 Ignition:1 Burner:0 Unknown:20</v>
      </c>
    </row>
    <row r="37" spans="1:18" hidden="1" x14ac:dyDescent="0.25">
      <c r="A37" s="3">
        <f t="shared" si="2"/>
        <v>44761.536601956017</v>
      </c>
      <c r="B37" s="8" t="str">
        <f t="shared" si="3"/>
        <v>→</v>
      </c>
      <c r="C37" s="11">
        <f t="shared" si="4"/>
        <v>8.6999999999999994E-2</v>
      </c>
      <c r="D37" s="2">
        <v>1658199162409</v>
      </c>
      <c r="E37" t="s">
        <v>0</v>
      </c>
      <c r="F37" s="1">
        <v>5</v>
      </c>
      <c r="G37" s="1">
        <v>21</v>
      </c>
      <c r="H37" s="1">
        <v>31</v>
      </c>
      <c r="I37" s="1" t="s">
        <v>6</v>
      </c>
      <c r="J37" s="1">
        <v>62</v>
      </c>
      <c r="K37" s="1">
        <v>95</v>
      </c>
      <c r="R37" t="str">
        <f t="shared" si="1"/>
        <v>Ack</v>
      </c>
    </row>
    <row r="38" spans="1:18" hidden="1" x14ac:dyDescent="0.25">
      <c r="A38" s="3">
        <f t="shared" si="2"/>
        <v>44761.536609953699</v>
      </c>
      <c r="B38" s="8" t="str">
        <f t="shared" si="3"/>
        <v>←</v>
      </c>
      <c r="C38" s="11">
        <f t="shared" si="4"/>
        <v>0.69099999999999995</v>
      </c>
      <c r="D38" s="2">
        <v>1658199163100</v>
      </c>
      <c r="E38" t="s">
        <v>0</v>
      </c>
      <c r="F38" s="1">
        <v>9</v>
      </c>
      <c r="G38" s="1">
        <v>31</v>
      </c>
      <c r="H38" s="1">
        <v>21</v>
      </c>
      <c r="I38" s="1">
        <v>5</v>
      </c>
      <c r="J38" s="1">
        <v>0</v>
      </c>
      <c r="K38" s="1">
        <v>22</v>
      </c>
      <c r="L38" s="1">
        <v>0</v>
      </c>
      <c r="M38" s="1">
        <v>0</v>
      </c>
      <c r="N38" s="1">
        <v>59</v>
      </c>
      <c r="O38" s="1">
        <v>37</v>
      </c>
      <c r="R38" t="str">
        <f t="shared" si="1"/>
        <v>FURNACE STATUS REPORT Fan:0 Ignition:1 Burner:0 Unknown:20</v>
      </c>
    </row>
    <row r="39" spans="1:18" hidden="1" x14ac:dyDescent="0.25">
      <c r="A39" s="3">
        <f t="shared" si="2"/>
        <v>44761.536610706018</v>
      </c>
      <c r="B39" s="8" t="str">
        <f t="shared" si="3"/>
        <v>→</v>
      </c>
      <c r="C39" s="11">
        <f t="shared" si="4"/>
        <v>6.5000000000000002E-2</v>
      </c>
      <c r="D39" s="2">
        <v>1658199163165</v>
      </c>
      <c r="E39" t="s">
        <v>0</v>
      </c>
      <c r="F39" s="1">
        <v>5</v>
      </c>
      <c r="G39" s="1">
        <v>21</v>
      </c>
      <c r="H39" s="1">
        <v>31</v>
      </c>
      <c r="I39" s="1" t="s">
        <v>6</v>
      </c>
      <c r="J39" s="1">
        <v>62</v>
      </c>
      <c r="K39" s="1">
        <v>95</v>
      </c>
      <c r="R39" t="str">
        <f t="shared" si="1"/>
        <v>Ack</v>
      </c>
    </row>
    <row r="40" spans="1:18" hidden="1" x14ac:dyDescent="0.25">
      <c r="A40" s="3">
        <f t="shared" si="2"/>
        <v>44761.536772314816</v>
      </c>
      <c r="B40" s="8" t="str">
        <f t="shared" si="3"/>
        <v>←</v>
      </c>
      <c r="C40" s="11">
        <f t="shared" si="4"/>
        <v>13.962999999999999</v>
      </c>
      <c r="D40" s="2">
        <v>1658199177128</v>
      </c>
      <c r="E40" t="s">
        <v>0</v>
      </c>
      <c r="F40" s="1">
        <v>9</v>
      </c>
      <c r="G40" s="1">
        <v>31</v>
      </c>
      <c r="H40" s="1">
        <v>21</v>
      </c>
      <c r="I40" s="1">
        <v>5</v>
      </c>
      <c r="J40" s="1">
        <v>0</v>
      </c>
      <c r="K40" s="1">
        <v>32</v>
      </c>
      <c r="L40" s="1">
        <v>0</v>
      </c>
      <c r="M40" s="1">
        <v>0</v>
      </c>
      <c r="N40" s="1" t="s">
        <v>26</v>
      </c>
      <c r="O40" s="1">
        <v>74</v>
      </c>
      <c r="R40" t="str">
        <f t="shared" si="1"/>
        <v>FURNACE STATUS REPORT Fan:0 Ignition:1 Burner:0 Unknown:30</v>
      </c>
    </row>
    <row r="41" spans="1:18" hidden="1" x14ac:dyDescent="0.25">
      <c r="A41" s="3">
        <f t="shared" si="2"/>
        <v>44761.536773229163</v>
      </c>
      <c r="B41" s="8" t="str">
        <f t="shared" si="3"/>
        <v>→</v>
      </c>
      <c r="C41" s="11">
        <f t="shared" si="4"/>
        <v>7.9000000000000001E-2</v>
      </c>
      <c r="D41" s="2">
        <v>1658199177207</v>
      </c>
      <c r="E41" t="s">
        <v>0</v>
      </c>
      <c r="F41" s="1">
        <v>5</v>
      </c>
      <c r="G41" s="1">
        <v>21</v>
      </c>
      <c r="H41" s="1">
        <v>31</v>
      </c>
      <c r="I41" s="1" t="s">
        <v>6</v>
      </c>
      <c r="J41" s="1">
        <v>62</v>
      </c>
      <c r="K41" s="1">
        <v>95</v>
      </c>
      <c r="R41" t="str">
        <f t="shared" si="1"/>
        <v>Ack</v>
      </c>
    </row>
    <row r="42" spans="1:18" hidden="1" x14ac:dyDescent="0.25">
      <c r="A42" s="3">
        <f t="shared" si="2"/>
        <v>44761.536866909715</v>
      </c>
      <c r="B42" s="8" t="str">
        <f t="shared" si="3"/>
        <v>←</v>
      </c>
      <c r="C42" s="11">
        <f t="shared" si="4"/>
        <v>8.0939999999999994</v>
      </c>
      <c r="D42" s="2">
        <v>1658199185301</v>
      </c>
      <c r="E42" t="s">
        <v>0</v>
      </c>
      <c r="F42" s="1">
        <v>9</v>
      </c>
      <c r="G42" s="1">
        <v>31</v>
      </c>
      <c r="H42" s="1">
        <v>21</v>
      </c>
      <c r="I42" s="1">
        <v>5</v>
      </c>
      <c r="J42" s="1">
        <v>0</v>
      </c>
      <c r="K42" s="1">
        <v>36</v>
      </c>
      <c r="L42" s="1">
        <v>0</v>
      </c>
      <c r="M42" s="1">
        <v>0</v>
      </c>
      <c r="N42" s="1">
        <v>58</v>
      </c>
      <c r="O42" s="1">
        <v>27</v>
      </c>
      <c r="R42" t="str">
        <f t="shared" si="1"/>
        <v>FURNACE STATUS REPORT Fan:0 Ignition:1 Burner:1 Unknown:30</v>
      </c>
    </row>
    <row r="43" spans="1:18" hidden="1" x14ac:dyDescent="0.25">
      <c r="A43" s="3">
        <f t="shared" si="2"/>
        <v>44761.536868055555</v>
      </c>
      <c r="B43" s="8" t="str">
        <f t="shared" si="3"/>
        <v>→</v>
      </c>
      <c r="C43" s="11">
        <f t="shared" si="4"/>
        <v>9.9000000000000005E-2</v>
      </c>
      <c r="D43" s="2">
        <v>1658199185400</v>
      </c>
      <c r="E43" t="s">
        <v>0</v>
      </c>
      <c r="F43" s="1">
        <v>5</v>
      </c>
      <c r="G43" s="1">
        <v>21</v>
      </c>
      <c r="H43" s="1">
        <v>31</v>
      </c>
      <c r="I43" s="1" t="s">
        <v>6</v>
      </c>
      <c r="J43" s="1">
        <v>62</v>
      </c>
      <c r="K43" s="1">
        <v>95</v>
      </c>
      <c r="R43" t="str">
        <f t="shared" si="1"/>
        <v>Ack</v>
      </c>
    </row>
    <row r="44" spans="1:18" hidden="1" x14ac:dyDescent="0.25">
      <c r="A44" s="3">
        <f t="shared" si="2"/>
        <v>44761.536947870372</v>
      </c>
      <c r="B44" s="8" t="str">
        <f t="shared" si="3"/>
        <v>←</v>
      </c>
      <c r="C44" s="11">
        <f t="shared" si="4"/>
        <v>6.8959999999999999</v>
      </c>
      <c r="D44" s="2">
        <v>1658199192296</v>
      </c>
      <c r="E44" t="s">
        <v>0</v>
      </c>
      <c r="F44" s="1">
        <v>9</v>
      </c>
      <c r="G44" s="1">
        <v>31</v>
      </c>
      <c r="H44" s="1">
        <v>21</v>
      </c>
      <c r="I44" s="1">
        <v>5</v>
      </c>
      <c r="J44" s="1">
        <v>0</v>
      </c>
      <c r="K44" s="1">
        <v>26</v>
      </c>
      <c r="L44" s="1">
        <v>0</v>
      </c>
      <c r="M44" s="1">
        <v>0</v>
      </c>
      <c r="N44" s="1" t="s">
        <v>8</v>
      </c>
      <c r="O44" s="1">
        <v>64</v>
      </c>
      <c r="R44" t="str">
        <f t="shared" si="1"/>
        <v>FURNACE STATUS REPORT Fan:0 Ignition:1 Burner:1 Unknown:20</v>
      </c>
    </row>
    <row r="45" spans="1:18" hidden="1" x14ac:dyDescent="0.25">
      <c r="A45" s="3">
        <f t="shared" si="2"/>
        <v>44761.536948946756</v>
      </c>
      <c r="B45" s="8" t="str">
        <f t="shared" si="3"/>
        <v>→</v>
      </c>
      <c r="C45" s="11">
        <f t="shared" si="4"/>
        <v>9.2999999999999999E-2</v>
      </c>
      <c r="D45" s="2">
        <v>1658199192389</v>
      </c>
      <c r="E45" t="s">
        <v>0</v>
      </c>
      <c r="F45" s="1">
        <v>5</v>
      </c>
      <c r="G45" s="1">
        <v>21</v>
      </c>
      <c r="H45" s="1">
        <v>31</v>
      </c>
      <c r="I45" s="1" t="s">
        <v>6</v>
      </c>
      <c r="J45" s="1">
        <v>62</v>
      </c>
      <c r="K45" s="1">
        <v>95</v>
      </c>
      <c r="R45" t="str">
        <f t="shared" si="1"/>
        <v>Ack</v>
      </c>
    </row>
    <row r="46" spans="1:18" hidden="1" x14ac:dyDescent="0.25">
      <c r="A46" s="3">
        <f t="shared" si="2"/>
        <v>44761.537029976847</v>
      </c>
      <c r="B46" s="8" t="str">
        <f t="shared" si="3"/>
        <v>←</v>
      </c>
      <c r="C46" s="11">
        <f t="shared" si="4"/>
        <v>7.0010000000000003</v>
      </c>
      <c r="D46" s="2">
        <v>1658199199390</v>
      </c>
      <c r="E46" t="s">
        <v>0</v>
      </c>
      <c r="F46" s="1">
        <v>9</v>
      </c>
      <c r="G46" s="1">
        <v>31</v>
      </c>
      <c r="H46" s="1">
        <v>21</v>
      </c>
      <c r="I46" s="1">
        <v>5</v>
      </c>
      <c r="J46" s="1">
        <v>0</v>
      </c>
      <c r="K46" s="1">
        <v>27</v>
      </c>
      <c r="L46" s="1">
        <v>0</v>
      </c>
      <c r="M46" s="1">
        <v>0</v>
      </c>
      <c r="N46" s="1">
        <v>59</v>
      </c>
      <c r="O46" s="1">
        <v>73</v>
      </c>
      <c r="R46" t="str">
        <f t="shared" si="1"/>
        <v>FURNACE STATUS REPORT Fan:1 Ignition:1 Burner:1 Unknown:20</v>
      </c>
    </row>
    <row r="47" spans="1:18" hidden="1" x14ac:dyDescent="0.25">
      <c r="A47" s="3">
        <f t="shared" si="2"/>
        <v>44761.537031041669</v>
      </c>
      <c r="B47" s="8" t="str">
        <f t="shared" si="3"/>
        <v>→</v>
      </c>
      <c r="C47" s="11">
        <f t="shared" si="4"/>
        <v>9.1999999999999998E-2</v>
      </c>
      <c r="D47" s="2">
        <v>1658199199482</v>
      </c>
      <c r="E47" t="s">
        <v>0</v>
      </c>
      <c r="F47" s="1">
        <v>5</v>
      </c>
      <c r="G47" s="1">
        <v>21</v>
      </c>
      <c r="H47" s="1">
        <v>31</v>
      </c>
      <c r="I47" s="1" t="s">
        <v>6</v>
      </c>
      <c r="J47" s="1">
        <v>62</v>
      </c>
      <c r="K47" s="1">
        <v>95</v>
      </c>
      <c r="R47" t="str">
        <f t="shared" si="1"/>
        <v>Ack</v>
      </c>
    </row>
    <row r="48" spans="1:18" hidden="1" x14ac:dyDescent="0.25">
      <c r="A48" s="3">
        <f t="shared" si="2"/>
        <v>44761.537262002312</v>
      </c>
      <c r="B48" s="8" t="str">
        <f t="shared" si="3"/>
        <v>→</v>
      </c>
      <c r="C48" s="11">
        <f t="shared" si="4"/>
        <v>19.954999999999998</v>
      </c>
      <c r="D48" s="2">
        <v>1658199219437</v>
      </c>
      <c r="E48" t="s">
        <v>0</v>
      </c>
      <c r="F48" s="1">
        <v>8</v>
      </c>
      <c r="G48" s="1">
        <v>21</v>
      </c>
      <c r="H48" s="1">
        <v>31</v>
      </c>
      <c r="I48" s="1">
        <v>7</v>
      </c>
      <c r="J48" s="1" t="s">
        <v>68</v>
      </c>
      <c r="K48" s="1">
        <v>30</v>
      </c>
      <c r="L48" s="1">
        <v>1</v>
      </c>
      <c r="M48" s="1" t="s">
        <v>4</v>
      </c>
      <c r="N48" s="1" t="s">
        <v>59</v>
      </c>
      <c r="R48" t="str">
        <f t="shared" si="1"/>
        <v>TIME 12:48 Tue</v>
      </c>
    </row>
    <row r="49" spans="1:18" hidden="1" x14ac:dyDescent="0.25">
      <c r="A49" s="3">
        <f t="shared" si="2"/>
        <v>44761.537263287035</v>
      </c>
      <c r="B49" s="8" t="str">
        <f t="shared" si="3"/>
        <v>←</v>
      </c>
      <c r="C49" s="11">
        <f t="shared" si="4"/>
        <v>0.111</v>
      </c>
      <c r="D49" s="2">
        <v>1658199219548</v>
      </c>
      <c r="E49" t="s">
        <v>0</v>
      </c>
      <c r="F49" s="1">
        <v>5</v>
      </c>
      <c r="G49" s="1">
        <v>31</v>
      </c>
      <c r="H49" s="1">
        <v>21</v>
      </c>
      <c r="I49" s="1" t="s">
        <v>6</v>
      </c>
      <c r="J49" s="1">
        <v>3</v>
      </c>
      <c r="K49" s="1" t="s">
        <v>7</v>
      </c>
      <c r="R49" t="str">
        <f t="shared" si="1"/>
        <v>Ack</v>
      </c>
    </row>
    <row r="50" spans="1:18" hidden="1" x14ac:dyDescent="0.25">
      <c r="A50" s="3">
        <f t="shared" si="2"/>
        <v>44761.537264571758</v>
      </c>
      <c r="B50" s="8" t="str">
        <f t="shared" si="3"/>
        <v>→</v>
      </c>
      <c r="C50" s="11">
        <f t="shared" si="4"/>
        <v>0.111</v>
      </c>
      <c r="D50" s="2">
        <v>1658199219659</v>
      </c>
      <c r="E50" t="s">
        <v>0</v>
      </c>
      <c r="F50" s="1">
        <v>5</v>
      </c>
      <c r="G50" s="1">
        <v>21</v>
      </c>
      <c r="H50" s="1">
        <v>31</v>
      </c>
      <c r="I50" s="1">
        <v>9</v>
      </c>
      <c r="J50" s="1">
        <v>60</v>
      </c>
      <c r="K50" s="1" t="s">
        <v>11</v>
      </c>
      <c r="R50" t="str">
        <f t="shared" si="1"/>
        <v>PING FURNACE</v>
      </c>
    </row>
    <row r="51" spans="1:18" hidden="1" x14ac:dyDescent="0.25">
      <c r="A51" s="3">
        <f t="shared" si="2"/>
        <v>44761.537265844905</v>
      </c>
      <c r="B51" s="8" t="str">
        <f t="shared" si="3"/>
        <v>←</v>
      </c>
      <c r="C51" s="11">
        <f t="shared" si="4"/>
        <v>0.11</v>
      </c>
      <c r="D51" s="2">
        <v>1658199219769</v>
      </c>
      <c r="E51" t="s">
        <v>0</v>
      </c>
      <c r="F51" s="1">
        <v>5</v>
      </c>
      <c r="G51" s="1">
        <v>31</v>
      </c>
      <c r="H51" s="1">
        <v>21</v>
      </c>
      <c r="I51" s="1" t="s">
        <v>6</v>
      </c>
      <c r="J51" s="1">
        <v>3</v>
      </c>
      <c r="K51" s="1" t="s">
        <v>7</v>
      </c>
      <c r="R51" t="str">
        <f t="shared" si="1"/>
        <v>Ack</v>
      </c>
    </row>
    <row r="52" spans="1:18" hidden="1" x14ac:dyDescent="0.25">
      <c r="A52" s="3">
        <f t="shared" si="2"/>
        <v>44761.537267534724</v>
      </c>
      <c r="B52" s="8" t="str">
        <f t="shared" si="3"/>
        <v>→</v>
      </c>
      <c r="C52" s="11">
        <f t="shared" si="4"/>
        <v>0.14599999999999999</v>
      </c>
      <c r="D52" s="2">
        <v>1658199219915</v>
      </c>
      <c r="E52" t="s">
        <v>0</v>
      </c>
      <c r="F52" s="1" t="s">
        <v>3</v>
      </c>
      <c r="G52" s="1">
        <v>21</v>
      </c>
      <c r="H52" s="1">
        <v>31</v>
      </c>
      <c r="I52" s="1" t="s">
        <v>3</v>
      </c>
      <c r="J52" s="1" t="s">
        <v>6</v>
      </c>
      <c r="K52" s="1">
        <v>12</v>
      </c>
      <c r="L52" s="1">
        <v>21</v>
      </c>
      <c r="M52" s="1">
        <v>1</v>
      </c>
      <c r="N52" s="1">
        <v>0</v>
      </c>
      <c r="O52" s="1">
        <v>0</v>
      </c>
      <c r="P52" s="1" t="s">
        <v>43</v>
      </c>
      <c r="Q52" s="1">
        <v>72</v>
      </c>
      <c r="R52" t="str">
        <f t="shared" si="1"/>
        <v>TEMPERATURE INFO Set:18 Actual:16.5 Countdown:0</v>
      </c>
    </row>
    <row r="53" spans="1:18" hidden="1" x14ac:dyDescent="0.25">
      <c r="A53" s="3">
        <f t="shared" si="2"/>
        <v>44761.537269085646</v>
      </c>
      <c r="B53" s="8" t="str">
        <f t="shared" si="3"/>
        <v>←</v>
      </c>
      <c r="C53" s="11">
        <f t="shared" si="4"/>
        <v>0.13400000000000001</v>
      </c>
      <c r="D53" s="2">
        <v>1658199220049</v>
      </c>
      <c r="E53" t="s">
        <v>0</v>
      </c>
      <c r="F53" s="1">
        <v>5</v>
      </c>
      <c r="G53" s="1">
        <v>31</v>
      </c>
      <c r="H53" s="1">
        <v>21</v>
      </c>
      <c r="I53" s="1" t="s">
        <v>6</v>
      </c>
      <c r="J53" s="1">
        <v>3</v>
      </c>
      <c r="K53" s="1" t="s">
        <v>7</v>
      </c>
      <c r="R53" t="str">
        <f t="shared" si="1"/>
        <v>Ack</v>
      </c>
    </row>
    <row r="54" spans="1:18" x14ac:dyDescent="0.25">
      <c r="A54" s="3">
        <f t="shared" si="2"/>
        <v>44761.537270185181</v>
      </c>
      <c r="B54" s="8" t="str">
        <f t="shared" si="3"/>
        <v>→</v>
      </c>
      <c r="C54" s="11">
        <f t="shared" si="4"/>
        <v>9.5000000000000001E-2</v>
      </c>
      <c r="D54" s="2">
        <v>1658199220144</v>
      </c>
      <c r="E54" t="s">
        <v>0</v>
      </c>
      <c r="F54" s="1">
        <v>6</v>
      </c>
      <c r="G54" s="1">
        <v>21</v>
      </c>
      <c r="H54" s="1">
        <v>31</v>
      </c>
      <c r="I54" s="1">
        <v>29</v>
      </c>
      <c r="J54" s="1">
        <v>0</v>
      </c>
      <c r="K54" s="1" t="s">
        <v>13</v>
      </c>
      <c r="L54" s="1" t="s">
        <v>14</v>
      </c>
      <c r="R54" t="str">
        <f t="shared" si="1"/>
        <v>LONG PING FURNACE</v>
      </c>
    </row>
    <row r="55" spans="1:18" hidden="1" x14ac:dyDescent="0.25">
      <c r="A55" s="3">
        <f t="shared" si="2"/>
        <v>44761.537271458328</v>
      </c>
      <c r="B55" s="8" t="str">
        <f t="shared" si="3"/>
        <v>←</v>
      </c>
      <c r="C55" s="11">
        <f t="shared" si="4"/>
        <v>0.11</v>
      </c>
      <c r="D55" s="2">
        <v>1658199220254</v>
      </c>
      <c r="E55" t="s">
        <v>0</v>
      </c>
      <c r="F55" s="1">
        <v>5</v>
      </c>
      <c r="G55" s="1">
        <v>31</v>
      </c>
      <c r="H55" s="1">
        <v>21</v>
      </c>
      <c r="I55" s="1" t="s">
        <v>6</v>
      </c>
      <c r="J55" s="1">
        <v>3</v>
      </c>
      <c r="K55" s="1" t="s">
        <v>7</v>
      </c>
      <c r="R55" t="str">
        <f t="shared" si="1"/>
        <v>Ack</v>
      </c>
    </row>
    <row r="56" spans="1:18" hidden="1" x14ac:dyDescent="0.25">
      <c r="A56" s="3">
        <f t="shared" si="2"/>
        <v>44761.537272638881</v>
      </c>
      <c r="B56" s="8" t="str">
        <f t="shared" si="3"/>
        <v>→</v>
      </c>
      <c r="C56" s="11">
        <f t="shared" si="4"/>
        <v>0.10199999999999999</v>
      </c>
      <c r="D56" s="2">
        <v>1658199220356</v>
      </c>
      <c r="E56" t="s">
        <v>0</v>
      </c>
      <c r="F56" s="1">
        <v>5</v>
      </c>
      <c r="G56" s="1">
        <v>21</v>
      </c>
      <c r="H56" s="1">
        <v>31</v>
      </c>
      <c r="I56" s="1">
        <v>6</v>
      </c>
      <c r="J56" s="1">
        <v>60</v>
      </c>
      <c r="K56" s="1">
        <v>83</v>
      </c>
      <c r="R56" t="str">
        <f t="shared" si="1"/>
        <v>FURNACE STATUS REQUEST</v>
      </c>
    </row>
    <row r="57" spans="1:18" hidden="1" x14ac:dyDescent="0.25">
      <c r="A57" s="3">
        <f t="shared" si="2"/>
        <v>44761.53727429398</v>
      </c>
      <c r="B57" s="8" t="str">
        <f t="shared" si="3"/>
        <v>←</v>
      </c>
      <c r="C57" s="11">
        <f t="shared" si="4"/>
        <v>0.14299999999999999</v>
      </c>
      <c r="D57" s="2">
        <v>1658199220499</v>
      </c>
      <c r="E57" t="s">
        <v>0</v>
      </c>
      <c r="F57" s="1">
        <v>9</v>
      </c>
      <c r="G57" s="1">
        <v>31</v>
      </c>
      <c r="H57" s="1">
        <v>21</v>
      </c>
      <c r="I57" s="1" t="s">
        <v>1</v>
      </c>
      <c r="J57" s="1">
        <v>0</v>
      </c>
      <c r="K57" s="1">
        <v>27</v>
      </c>
      <c r="L57" s="1">
        <v>0</v>
      </c>
      <c r="M57" s="1">
        <v>0</v>
      </c>
      <c r="N57" s="1" t="s">
        <v>2</v>
      </c>
      <c r="O57" s="1">
        <v>20</v>
      </c>
      <c r="R57" t="str">
        <f t="shared" si="1"/>
        <v>FURNACE STATUS RESPONSE Fan:1 Ignition:1 Burner:1 Unknown:20</v>
      </c>
    </row>
    <row r="58" spans="1:18" hidden="1" x14ac:dyDescent="0.25">
      <c r="A58" s="3">
        <f t="shared" si="2"/>
        <v>44761.537956504624</v>
      </c>
      <c r="B58" s="8" t="str">
        <f t="shared" si="3"/>
        <v>→</v>
      </c>
      <c r="C58" s="11">
        <f t="shared" si="4"/>
        <v>58.942999999999998</v>
      </c>
      <c r="D58" s="2">
        <v>1658199279442</v>
      </c>
      <c r="E58" t="s">
        <v>0</v>
      </c>
      <c r="F58" s="1">
        <v>8</v>
      </c>
      <c r="G58" s="1">
        <v>21</v>
      </c>
      <c r="H58" s="1">
        <v>31</v>
      </c>
      <c r="I58" s="1">
        <v>7</v>
      </c>
      <c r="J58" s="1" t="s">
        <v>68</v>
      </c>
      <c r="K58" s="1">
        <v>31</v>
      </c>
      <c r="L58" s="1">
        <v>1</v>
      </c>
      <c r="M58" s="1">
        <v>32</v>
      </c>
      <c r="N58" s="1" t="s">
        <v>111</v>
      </c>
      <c r="R58" t="str">
        <f t="shared" si="1"/>
        <v>TIME 12:49 Tue</v>
      </c>
    </row>
    <row r="59" spans="1:18" hidden="1" x14ac:dyDescent="0.25">
      <c r="A59" s="3">
        <f t="shared" si="2"/>
        <v>44761.537957673609</v>
      </c>
      <c r="B59" s="8" t="str">
        <f t="shared" si="3"/>
        <v>←</v>
      </c>
      <c r="C59" s="11">
        <f t="shared" si="4"/>
        <v>0.10100000000000001</v>
      </c>
      <c r="D59" s="2">
        <v>1658199279543</v>
      </c>
      <c r="E59" t="s">
        <v>0</v>
      </c>
      <c r="F59" s="1">
        <v>5</v>
      </c>
      <c r="G59" s="1">
        <v>31</v>
      </c>
      <c r="H59" s="1">
        <v>21</v>
      </c>
      <c r="I59" s="1" t="s">
        <v>6</v>
      </c>
      <c r="J59" s="1">
        <v>3</v>
      </c>
      <c r="K59" s="1" t="s">
        <v>7</v>
      </c>
      <c r="R59" t="str">
        <f t="shared" si="1"/>
        <v>Ack</v>
      </c>
    </row>
    <row r="60" spans="1:18" hidden="1" x14ac:dyDescent="0.25">
      <c r="A60" s="3">
        <f t="shared" ref="A60:A97" si="5">D60/(1000*60*60*24)+25569+10/24</f>
        <v>44761.537959004629</v>
      </c>
      <c r="B60" s="8" t="str">
        <f t="shared" ref="B60:B97" si="6">IF(AND(G60=21,H60=31),"→",IF(AND(G60=31,H60=21),"←","Error"))</f>
        <v>→</v>
      </c>
      <c r="C60" s="11">
        <f t="shared" ref="C60:C97" si="7">(D60-D59)/1000</f>
        <v>0.115</v>
      </c>
      <c r="D60" s="2">
        <v>1658199279658</v>
      </c>
      <c r="E60" t="s">
        <v>0</v>
      </c>
      <c r="F60" s="1">
        <v>5</v>
      </c>
      <c r="G60" s="1">
        <v>21</v>
      </c>
      <c r="H60" s="1">
        <v>31</v>
      </c>
      <c r="I60" s="1">
        <v>9</v>
      </c>
      <c r="J60" s="1">
        <v>60</v>
      </c>
      <c r="K60" s="1" t="s">
        <v>11</v>
      </c>
      <c r="R60" t="str">
        <f t="shared" si="1"/>
        <v>PING FURNACE</v>
      </c>
    </row>
    <row r="61" spans="1:18" hidden="1" x14ac:dyDescent="0.25">
      <c r="A61" s="3">
        <f t="shared" si="5"/>
        <v>44761.537960601847</v>
      </c>
      <c r="B61" s="8" t="str">
        <f t="shared" si="6"/>
        <v>←</v>
      </c>
      <c r="C61" s="11">
        <f t="shared" si="7"/>
        <v>0.13800000000000001</v>
      </c>
      <c r="D61" s="2">
        <v>1658199279796</v>
      </c>
      <c r="E61" t="s">
        <v>0</v>
      </c>
      <c r="F61" s="1">
        <v>5</v>
      </c>
      <c r="G61" s="1">
        <v>31</v>
      </c>
      <c r="H61" s="1">
        <v>21</v>
      </c>
      <c r="I61" s="1" t="s">
        <v>6</v>
      </c>
      <c r="J61" s="1">
        <v>3</v>
      </c>
      <c r="K61" s="1" t="s">
        <v>7</v>
      </c>
      <c r="R61" t="str">
        <f t="shared" si="1"/>
        <v>Ack</v>
      </c>
    </row>
    <row r="62" spans="1:18" hidden="1" x14ac:dyDescent="0.25">
      <c r="A62" s="3">
        <f t="shared" si="5"/>
        <v>44761.537962453702</v>
      </c>
      <c r="B62" s="8" t="str">
        <f t="shared" si="6"/>
        <v>→</v>
      </c>
      <c r="C62" s="11">
        <f t="shared" si="7"/>
        <v>0.16</v>
      </c>
      <c r="D62" s="2">
        <v>1658199279956</v>
      </c>
      <c r="E62" t="s">
        <v>0</v>
      </c>
      <c r="F62" s="1" t="s">
        <v>3</v>
      </c>
      <c r="G62" s="1">
        <v>21</v>
      </c>
      <c r="H62" s="1">
        <v>31</v>
      </c>
      <c r="I62" s="1" t="s">
        <v>3</v>
      </c>
      <c r="J62" s="1" t="s">
        <v>6</v>
      </c>
      <c r="K62" s="1">
        <v>12</v>
      </c>
      <c r="L62" s="1">
        <v>21</v>
      </c>
      <c r="M62" s="1">
        <v>1</v>
      </c>
      <c r="N62" s="1">
        <v>0</v>
      </c>
      <c r="O62" s="1">
        <v>0</v>
      </c>
      <c r="P62" s="1" t="s">
        <v>43</v>
      </c>
      <c r="Q62" s="1">
        <v>72</v>
      </c>
      <c r="R62" t="str">
        <f t="shared" si="1"/>
        <v>TEMPERATURE INFO Set:18 Actual:16.5 Countdown:0</v>
      </c>
    </row>
    <row r="63" spans="1:18" hidden="1" x14ac:dyDescent="0.25">
      <c r="A63" s="3">
        <f t="shared" si="5"/>
        <v>44761.537963831019</v>
      </c>
      <c r="B63" s="8" t="str">
        <f t="shared" si="6"/>
        <v>←</v>
      </c>
      <c r="C63" s="11">
        <f t="shared" si="7"/>
        <v>0.11899999999999999</v>
      </c>
      <c r="D63" s="2">
        <v>1658199280075</v>
      </c>
      <c r="E63" t="s">
        <v>0</v>
      </c>
      <c r="F63" s="1">
        <v>5</v>
      </c>
      <c r="G63" s="1">
        <v>31</v>
      </c>
      <c r="H63" s="1">
        <v>21</v>
      </c>
      <c r="I63" s="1" t="s">
        <v>6</v>
      </c>
      <c r="J63" s="1">
        <v>3</v>
      </c>
      <c r="K63" s="1" t="s">
        <v>7</v>
      </c>
      <c r="R63" t="str">
        <f t="shared" si="1"/>
        <v>Ack</v>
      </c>
    </row>
    <row r="64" spans="1:18" x14ac:dyDescent="0.25">
      <c r="A64" s="3">
        <f t="shared" si="5"/>
        <v>44761.537965057869</v>
      </c>
      <c r="B64" s="8" t="str">
        <f t="shared" si="6"/>
        <v>→</v>
      </c>
      <c r="C64" s="11">
        <f t="shared" si="7"/>
        <v>0.106</v>
      </c>
      <c r="D64" s="2">
        <v>1658199280181</v>
      </c>
      <c r="E64" t="s">
        <v>0</v>
      </c>
      <c r="F64" s="1">
        <v>6</v>
      </c>
      <c r="G64" s="1">
        <v>21</v>
      </c>
      <c r="H64" s="1">
        <v>31</v>
      </c>
      <c r="I64" s="1">
        <v>29</v>
      </c>
      <c r="J64" s="1">
        <v>0</v>
      </c>
      <c r="K64" s="1" t="s">
        <v>13</v>
      </c>
      <c r="L64" s="1" t="s">
        <v>14</v>
      </c>
      <c r="R64" t="str">
        <f t="shared" si="1"/>
        <v>LONG PING FURNACE</v>
      </c>
    </row>
    <row r="65" spans="1:18" hidden="1" x14ac:dyDescent="0.25">
      <c r="A65" s="3">
        <f t="shared" si="5"/>
        <v>44761.537966412034</v>
      </c>
      <c r="B65" s="8" t="str">
        <f t="shared" si="6"/>
        <v>←</v>
      </c>
      <c r="C65" s="11">
        <f t="shared" si="7"/>
        <v>0.11700000000000001</v>
      </c>
      <c r="D65" s="2">
        <v>1658199280298</v>
      </c>
      <c r="E65" t="s">
        <v>0</v>
      </c>
      <c r="F65" s="1">
        <v>5</v>
      </c>
      <c r="G65" s="1">
        <v>31</v>
      </c>
      <c r="H65" s="1">
        <v>21</v>
      </c>
      <c r="I65" s="1" t="s">
        <v>6</v>
      </c>
      <c r="J65" s="1">
        <v>3</v>
      </c>
      <c r="K65" s="1" t="s">
        <v>7</v>
      </c>
      <c r="R65" t="str">
        <f t="shared" si="1"/>
        <v>Ack</v>
      </c>
    </row>
    <row r="66" spans="1:18" hidden="1" x14ac:dyDescent="0.25">
      <c r="A66" s="3">
        <f t="shared" si="5"/>
        <v>44761.53796739583</v>
      </c>
      <c r="B66" s="8" t="str">
        <f t="shared" si="6"/>
        <v>→</v>
      </c>
      <c r="C66" s="11">
        <f t="shared" si="7"/>
        <v>8.5000000000000006E-2</v>
      </c>
      <c r="D66" s="2">
        <v>1658199280383</v>
      </c>
      <c r="E66" t="s">
        <v>0</v>
      </c>
      <c r="F66" s="1">
        <v>5</v>
      </c>
      <c r="G66" s="1">
        <v>21</v>
      </c>
      <c r="H66" s="1">
        <v>31</v>
      </c>
      <c r="I66" s="1">
        <v>6</v>
      </c>
      <c r="J66" s="1">
        <v>60</v>
      </c>
      <c r="K66" s="1">
        <v>83</v>
      </c>
      <c r="R66" t="str">
        <f t="shared" si="1"/>
        <v>FURNACE STATUS REQUEST</v>
      </c>
    </row>
    <row r="67" spans="1:18" hidden="1" x14ac:dyDescent="0.25">
      <c r="A67" s="3">
        <f t="shared" si="5"/>
        <v>44761.537969189812</v>
      </c>
      <c r="B67" s="8" t="str">
        <f t="shared" si="6"/>
        <v>←</v>
      </c>
      <c r="C67" s="11">
        <f t="shared" si="7"/>
        <v>0.155</v>
      </c>
      <c r="D67" s="2">
        <v>1658199280538</v>
      </c>
      <c r="E67" t="s">
        <v>0</v>
      </c>
      <c r="F67" s="1">
        <v>9</v>
      </c>
      <c r="G67" s="1">
        <v>31</v>
      </c>
      <c r="H67" s="1">
        <v>21</v>
      </c>
      <c r="I67" s="1" t="s">
        <v>1</v>
      </c>
      <c r="J67" s="1">
        <v>0</v>
      </c>
      <c r="K67" s="1">
        <v>27</v>
      </c>
      <c r="L67" s="1">
        <v>0</v>
      </c>
      <c r="M67" s="1">
        <v>0</v>
      </c>
      <c r="N67" s="1" t="s">
        <v>2</v>
      </c>
      <c r="O67" s="1">
        <v>20</v>
      </c>
      <c r="R67" t="str">
        <f t="shared" ref="R67:R130" si="8">IF(E67="Ok",_xlfn.SWITCH(I67,5,"FURNACE STATUS REPORT Fan:"&amp;IF(_xlfn.BITAND(HEX2DEC(K67),1),"1","0")&amp;" Ignition:"&amp;IF(_xlfn.BITAND(HEX2DEC(K67),2),"1","0")&amp;" Burner:"&amp;IF(_xlfn.BITAND(HEX2DEC(K67),4),"1","0")&amp;" Unknown:"&amp;DEC2HEX(_xlfn.BITAND(HEX2DEC(K67),248)),6,"FURNACE STATUS REQUEST",7,"TIME "&amp;HEX2DEC(J67)&amp;":"&amp;HEX2DEC(K67)&amp;" "&amp;CHOOSE(L67+1,"Mon","Tue","Wed","Thu","Fri","Sat","Sun"),9,"PING FURNACE","0B","TEMPERATURE INFO Set:"&amp;HEX2DEC(K67)&amp;" Actual:"&amp;HEX2DEC(L67)/2&amp;" Countdown:"&amp;HEX2DEC(N67),29,"LONG PING FURNACE","FB","FURNACE STATUS RESPONSE Fan:"&amp;IF(_xlfn.BITAND(HEX2DEC(K67),1),"1","0")&amp;" Ignition:"&amp;IF(_xlfn.BITAND(HEX2DEC(K67),2),"1","0")&amp;" Burner:"&amp;IF(_xlfn.BITAND(HEX2DEC(K67),4),"1","0")&amp;" Unknown:"&amp;DEC2HEX(_xlfn.BITAND(HEX2DEC(K67),248)),"FF","Ack"),"")</f>
        <v>FURNACE STATUS RESPONSE Fan:1 Ignition:1 Burner:1 Unknown:20</v>
      </c>
    </row>
    <row r="68" spans="1:18" hidden="1" x14ac:dyDescent="0.25">
      <c r="A68" s="3">
        <f t="shared" si="5"/>
        <v>44761.538650891198</v>
      </c>
      <c r="B68" s="8" t="str">
        <f t="shared" si="6"/>
        <v>→</v>
      </c>
      <c r="C68" s="11">
        <f t="shared" si="7"/>
        <v>58.899000000000001</v>
      </c>
      <c r="D68" s="2">
        <v>1658199339437</v>
      </c>
      <c r="E68" t="s">
        <v>0</v>
      </c>
      <c r="F68" s="1">
        <v>8</v>
      </c>
      <c r="G68" s="1">
        <v>21</v>
      </c>
      <c r="H68" s="1">
        <v>31</v>
      </c>
      <c r="I68" s="1">
        <v>7</v>
      </c>
      <c r="J68" s="1" t="s">
        <v>68</v>
      </c>
      <c r="K68" s="1">
        <v>32</v>
      </c>
      <c r="L68" s="1">
        <v>1</v>
      </c>
      <c r="M68" s="1">
        <v>38</v>
      </c>
      <c r="N68" s="1" t="s">
        <v>111</v>
      </c>
      <c r="R68" t="str">
        <f t="shared" si="8"/>
        <v>TIME 12:50 Tue</v>
      </c>
    </row>
    <row r="69" spans="1:18" hidden="1" x14ac:dyDescent="0.25">
      <c r="A69" s="3">
        <f t="shared" si="5"/>
        <v>44761.538652210649</v>
      </c>
      <c r="B69" s="8" t="str">
        <f t="shared" si="6"/>
        <v>←</v>
      </c>
      <c r="C69" s="11">
        <f t="shared" si="7"/>
        <v>0.114</v>
      </c>
      <c r="D69" s="2">
        <v>1658199339551</v>
      </c>
      <c r="E69" t="s">
        <v>0</v>
      </c>
      <c r="F69" s="1">
        <v>5</v>
      </c>
      <c r="G69" s="1">
        <v>31</v>
      </c>
      <c r="H69" s="1">
        <v>21</v>
      </c>
      <c r="I69" s="1" t="s">
        <v>6</v>
      </c>
      <c r="J69" s="1">
        <v>3</v>
      </c>
      <c r="K69" s="1" t="s">
        <v>7</v>
      </c>
      <c r="R69" t="str">
        <f t="shared" si="8"/>
        <v>Ack</v>
      </c>
    </row>
    <row r="70" spans="1:18" hidden="1" x14ac:dyDescent="0.25">
      <c r="A70" s="3">
        <f t="shared" si="5"/>
        <v>44761.53865362268</v>
      </c>
      <c r="B70" s="8" t="str">
        <f t="shared" si="6"/>
        <v>→</v>
      </c>
      <c r="C70" s="11">
        <f t="shared" si="7"/>
        <v>0.122</v>
      </c>
      <c r="D70" s="2">
        <v>1658199339673</v>
      </c>
      <c r="E70" t="s">
        <v>0</v>
      </c>
      <c r="F70" s="1">
        <v>5</v>
      </c>
      <c r="G70" s="1">
        <v>21</v>
      </c>
      <c r="H70" s="1">
        <v>31</v>
      </c>
      <c r="I70" s="1">
        <v>9</v>
      </c>
      <c r="J70" s="1">
        <v>60</v>
      </c>
      <c r="K70" s="1" t="s">
        <v>11</v>
      </c>
      <c r="R70" t="str">
        <f t="shared" si="8"/>
        <v>PING FURNACE</v>
      </c>
    </row>
    <row r="71" spans="1:18" hidden="1" x14ac:dyDescent="0.25">
      <c r="A71" s="3">
        <f t="shared" si="5"/>
        <v>44761.538654664349</v>
      </c>
      <c r="B71" s="8" t="str">
        <f t="shared" si="6"/>
        <v>←</v>
      </c>
      <c r="C71" s="11">
        <f t="shared" si="7"/>
        <v>0.09</v>
      </c>
      <c r="D71" s="2">
        <v>1658199339763</v>
      </c>
      <c r="E71" t="s">
        <v>0</v>
      </c>
      <c r="F71" s="1">
        <v>5</v>
      </c>
      <c r="G71" s="1">
        <v>31</v>
      </c>
      <c r="H71" s="1">
        <v>21</v>
      </c>
      <c r="I71" s="1" t="s">
        <v>6</v>
      </c>
      <c r="J71" s="1">
        <v>3</v>
      </c>
      <c r="K71" s="1" t="s">
        <v>7</v>
      </c>
      <c r="R71" t="str">
        <f t="shared" si="8"/>
        <v>Ack</v>
      </c>
    </row>
    <row r="72" spans="1:18" hidden="1" x14ac:dyDescent="0.25">
      <c r="A72" s="3">
        <f t="shared" si="5"/>
        <v>44761.538656655095</v>
      </c>
      <c r="B72" s="8" t="str">
        <f t="shared" si="6"/>
        <v>→</v>
      </c>
      <c r="C72" s="11">
        <f t="shared" si="7"/>
        <v>0.17199999999999999</v>
      </c>
      <c r="D72" s="2">
        <v>1658199339935</v>
      </c>
      <c r="E72" t="s">
        <v>0</v>
      </c>
      <c r="F72" s="1" t="s">
        <v>3</v>
      </c>
      <c r="G72" s="1">
        <v>21</v>
      </c>
      <c r="H72" s="1">
        <v>31</v>
      </c>
      <c r="I72" s="1" t="s">
        <v>3</v>
      </c>
      <c r="J72" s="1" t="s">
        <v>6</v>
      </c>
      <c r="K72" s="1">
        <v>12</v>
      </c>
      <c r="L72" s="1">
        <v>21</v>
      </c>
      <c r="M72" s="1">
        <v>1</v>
      </c>
      <c r="N72" s="1">
        <v>0</v>
      </c>
      <c r="O72" s="1">
        <v>0</v>
      </c>
      <c r="P72" s="1" t="s">
        <v>43</v>
      </c>
      <c r="Q72" s="1">
        <v>72</v>
      </c>
      <c r="R72" t="str">
        <f t="shared" si="8"/>
        <v>TEMPERATURE INFO Set:18 Actual:16.5 Countdown:0</v>
      </c>
    </row>
    <row r="73" spans="1:18" hidden="1" x14ac:dyDescent="0.25">
      <c r="A73" s="3">
        <f t="shared" si="5"/>
        <v>44761.538657893521</v>
      </c>
      <c r="B73" s="8" t="str">
        <f t="shared" si="6"/>
        <v>←</v>
      </c>
      <c r="C73" s="11">
        <f t="shared" si="7"/>
        <v>0.107</v>
      </c>
      <c r="D73" s="2">
        <v>1658199340042</v>
      </c>
      <c r="E73" t="s">
        <v>0</v>
      </c>
      <c r="F73" s="1">
        <v>5</v>
      </c>
      <c r="G73" s="1">
        <v>31</v>
      </c>
      <c r="H73" s="1">
        <v>21</v>
      </c>
      <c r="I73" s="1" t="s">
        <v>6</v>
      </c>
      <c r="J73" s="1">
        <v>3</v>
      </c>
      <c r="K73" s="1" t="s">
        <v>7</v>
      </c>
      <c r="R73" t="str">
        <f t="shared" si="8"/>
        <v>Ack</v>
      </c>
    </row>
    <row r="74" spans="1:18" x14ac:dyDescent="0.25">
      <c r="A74" s="3">
        <f t="shared" si="5"/>
        <v>44761.538659340273</v>
      </c>
      <c r="B74" s="8" t="str">
        <f t="shared" si="6"/>
        <v>→</v>
      </c>
      <c r="C74" s="11">
        <f t="shared" si="7"/>
        <v>0.125</v>
      </c>
      <c r="D74" s="2">
        <v>1658199340167</v>
      </c>
      <c r="E74" t="s">
        <v>0</v>
      </c>
      <c r="F74" s="1">
        <v>6</v>
      </c>
      <c r="G74" s="1">
        <v>21</v>
      </c>
      <c r="H74" s="1">
        <v>31</v>
      </c>
      <c r="I74" s="1">
        <v>29</v>
      </c>
      <c r="J74" s="1">
        <v>0</v>
      </c>
      <c r="K74" s="1" t="s">
        <v>13</v>
      </c>
      <c r="L74" s="1" t="s">
        <v>14</v>
      </c>
      <c r="R74" t="str">
        <f t="shared" si="8"/>
        <v>LONG PING FURNACE</v>
      </c>
    </row>
    <row r="75" spans="1:18" hidden="1" x14ac:dyDescent="0.25">
      <c r="A75" s="3">
        <f t="shared" si="5"/>
        <v>44761.538660474536</v>
      </c>
      <c r="B75" s="8" t="str">
        <f t="shared" si="6"/>
        <v>←</v>
      </c>
      <c r="C75" s="11">
        <f t="shared" si="7"/>
        <v>9.8000000000000004E-2</v>
      </c>
      <c r="D75" s="2">
        <v>1658199340265</v>
      </c>
      <c r="E75" t="s">
        <v>0</v>
      </c>
      <c r="F75" s="1">
        <v>5</v>
      </c>
      <c r="G75" s="1">
        <v>31</v>
      </c>
      <c r="H75" s="1">
        <v>21</v>
      </c>
      <c r="I75" s="1" t="s">
        <v>6</v>
      </c>
      <c r="J75" s="1">
        <v>3</v>
      </c>
      <c r="K75" s="1" t="s">
        <v>7</v>
      </c>
      <c r="R75" t="str">
        <f t="shared" si="8"/>
        <v>Ack</v>
      </c>
    </row>
    <row r="76" spans="1:18" hidden="1" x14ac:dyDescent="0.25">
      <c r="A76" s="3">
        <f t="shared" si="5"/>
        <v>44761.538661458333</v>
      </c>
      <c r="B76" s="8" t="str">
        <f t="shared" si="6"/>
        <v>→</v>
      </c>
      <c r="C76" s="11">
        <f t="shared" si="7"/>
        <v>8.5000000000000006E-2</v>
      </c>
      <c r="D76" s="2">
        <v>1658199340350</v>
      </c>
      <c r="E76" t="s">
        <v>0</v>
      </c>
      <c r="F76" s="1">
        <v>5</v>
      </c>
      <c r="G76" s="1">
        <v>21</v>
      </c>
      <c r="H76" s="1">
        <v>31</v>
      </c>
      <c r="I76" s="1">
        <v>6</v>
      </c>
      <c r="J76" s="1">
        <v>60</v>
      </c>
      <c r="K76" s="1">
        <v>83</v>
      </c>
      <c r="R76" t="str">
        <f t="shared" si="8"/>
        <v>FURNACE STATUS REQUEST</v>
      </c>
    </row>
    <row r="77" spans="1:18" hidden="1" x14ac:dyDescent="0.25">
      <c r="A77" s="3">
        <f t="shared" si="5"/>
        <v>44761.538663078703</v>
      </c>
      <c r="B77" s="8" t="str">
        <f t="shared" si="6"/>
        <v>←</v>
      </c>
      <c r="C77" s="11">
        <f t="shared" si="7"/>
        <v>0.14000000000000001</v>
      </c>
      <c r="D77" s="2">
        <v>1658199340490</v>
      </c>
      <c r="E77" t="s">
        <v>0</v>
      </c>
      <c r="F77" s="1">
        <v>9</v>
      </c>
      <c r="G77" s="1">
        <v>31</v>
      </c>
      <c r="H77" s="1">
        <v>21</v>
      </c>
      <c r="I77" s="1" t="s">
        <v>1</v>
      </c>
      <c r="J77" s="1">
        <v>0</v>
      </c>
      <c r="K77" s="1">
        <v>27</v>
      </c>
      <c r="L77" s="1">
        <v>0</v>
      </c>
      <c r="M77" s="1">
        <v>0</v>
      </c>
      <c r="N77" s="1" t="s">
        <v>2</v>
      </c>
      <c r="O77" s="1">
        <v>20</v>
      </c>
      <c r="R77" t="str">
        <f t="shared" si="8"/>
        <v>FURNACE STATUS RESPONSE Fan:1 Ignition:1 Burner:1 Unknown:20</v>
      </c>
    </row>
    <row r="78" spans="1:18" hidden="1" x14ac:dyDescent="0.25">
      <c r="A78" s="3">
        <f t="shared" si="5"/>
        <v>44761.539345405086</v>
      </c>
      <c r="B78" s="8" t="str">
        <f t="shared" si="6"/>
        <v>→</v>
      </c>
      <c r="C78" s="11">
        <f t="shared" si="7"/>
        <v>58.953000000000003</v>
      </c>
      <c r="D78" s="2">
        <v>1658199399443</v>
      </c>
      <c r="E78" t="s">
        <v>0</v>
      </c>
      <c r="F78" s="1">
        <v>8</v>
      </c>
      <c r="G78" s="1">
        <v>21</v>
      </c>
      <c r="H78" s="1">
        <v>31</v>
      </c>
      <c r="I78" s="1">
        <v>7</v>
      </c>
      <c r="J78" s="1" t="s">
        <v>68</v>
      </c>
      <c r="K78" s="1">
        <v>33</v>
      </c>
      <c r="L78" s="1">
        <v>1</v>
      </c>
      <c r="M78" s="1" t="s">
        <v>98</v>
      </c>
      <c r="N78" s="1" t="s">
        <v>59</v>
      </c>
      <c r="R78" t="str">
        <f t="shared" si="8"/>
        <v>TIME 12:51 Tue</v>
      </c>
    </row>
    <row r="79" spans="1:18" hidden="1" x14ac:dyDescent="0.25">
      <c r="A79" s="3">
        <f t="shared" si="5"/>
        <v>44761.539346944446</v>
      </c>
      <c r="B79" s="8" t="str">
        <f t="shared" si="6"/>
        <v>←</v>
      </c>
      <c r="C79" s="11">
        <f t="shared" si="7"/>
        <v>0.13300000000000001</v>
      </c>
      <c r="D79" s="2">
        <v>1658199399576</v>
      </c>
      <c r="E79" t="s">
        <v>0</v>
      </c>
      <c r="F79" s="1">
        <v>5</v>
      </c>
      <c r="G79" s="1">
        <v>31</v>
      </c>
      <c r="H79" s="1">
        <v>21</v>
      </c>
      <c r="I79" s="1" t="s">
        <v>6</v>
      </c>
      <c r="J79" s="1">
        <v>3</v>
      </c>
      <c r="K79" s="1" t="s">
        <v>7</v>
      </c>
      <c r="R79" t="str">
        <f t="shared" si="8"/>
        <v>Ack</v>
      </c>
    </row>
    <row r="80" spans="1:18" hidden="1" x14ac:dyDescent="0.25">
      <c r="A80" s="3">
        <f t="shared" si="5"/>
        <v>44761.539348194441</v>
      </c>
      <c r="B80" s="8" t="str">
        <f t="shared" si="6"/>
        <v>→</v>
      </c>
      <c r="C80" s="11">
        <f t="shared" si="7"/>
        <v>0.108</v>
      </c>
      <c r="D80" s="2">
        <v>1658199399684</v>
      </c>
      <c r="E80" t="s">
        <v>0</v>
      </c>
      <c r="F80" s="1">
        <v>5</v>
      </c>
      <c r="G80" s="1">
        <v>21</v>
      </c>
      <c r="H80" s="1">
        <v>31</v>
      </c>
      <c r="I80" s="1">
        <v>9</v>
      </c>
      <c r="J80" s="1">
        <v>60</v>
      </c>
      <c r="K80" s="1" t="s">
        <v>11</v>
      </c>
      <c r="R80" t="str">
        <f t="shared" si="8"/>
        <v>PING FURNACE</v>
      </c>
    </row>
    <row r="81" spans="1:18" hidden="1" x14ac:dyDescent="0.25">
      <c r="A81" s="3">
        <f t="shared" si="5"/>
        <v>44761.539349374994</v>
      </c>
      <c r="B81" s="8" t="str">
        <f t="shared" si="6"/>
        <v>←</v>
      </c>
      <c r="C81" s="11">
        <f t="shared" si="7"/>
        <v>0.10199999999999999</v>
      </c>
      <c r="D81" s="2">
        <v>1658199399786</v>
      </c>
      <c r="E81" t="s">
        <v>0</v>
      </c>
      <c r="F81" s="1">
        <v>5</v>
      </c>
      <c r="G81" s="1">
        <v>31</v>
      </c>
      <c r="H81" s="1">
        <v>21</v>
      </c>
      <c r="I81" s="1" t="s">
        <v>6</v>
      </c>
      <c r="J81" s="1">
        <v>3</v>
      </c>
      <c r="K81" s="1" t="s">
        <v>7</v>
      </c>
      <c r="R81" t="str">
        <f t="shared" si="8"/>
        <v>Ack</v>
      </c>
    </row>
    <row r="82" spans="1:18" hidden="1" x14ac:dyDescent="0.25">
      <c r="A82" s="3">
        <f t="shared" si="5"/>
        <v>44761.539351099535</v>
      </c>
      <c r="B82" s="8" t="str">
        <f t="shared" si="6"/>
        <v>→</v>
      </c>
      <c r="C82" s="11">
        <f t="shared" si="7"/>
        <v>0.14899999999999999</v>
      </c>
      <c r="D82" s="2">
        <v>1658199399935</v>
      </c>
      <c r="E82" t="s">
        <v>0</v>
      </c>
      <c r="F82" s="1" t="s">
        <v>3</v>
      </c>
      <c r="G82" s="1">
        <v>21</v>
      </c>
      <c r="H82" s="1">
        <v>31</v>
      </c>
      <c r="I82" s="1" t="s">
        <v>3</v>
      </c>
      <c r="J82" s="1" t="s">
        <v>6</v>
      </c>
      <c r="K82" s="1">
        <v>12</v>
      </c>
      <c r="L82" s="1">
        <v>21</v>
      </c>
      <c r="M82" s="1">
        <v>1</v>
      </c>
      <c r="N82" s="1">
        <v>0</v>
      </c>
      <c r="O82" s="1">
        <v>0</v>
      </c>
      <c r="P82" s="1" t="s">
        <v>43</v>
      </c>
      <c r="Q82" s="1">
        <v>72</v>
      </c>
      <c r="R82" t="str">
        <f t="shared" si="8"/>
        <v>TEMPERATURE INFO Set:18 Actual:16.5 Countdown:0</v>
      </c>
    </row>
    <row r="83" spans="1:18" hidden="1" x14ac:dyDescent="0.25">
      <c r="A83" s="3">
        <f t="shared" si="5"/>
        <v>44761.539352581014</v>
      </c>
      <c r="B83" s="8" t="str">
        <f t="shared" si="6"/>
        <v>←</v>
      </c>
      <c r="C83" s="11">
        <f t="shared" si="7"/>
        <v>0.128</v>
      </c>
      <c r="D83" s="2">
        <v>1658199400063</v>
      </c>
      <c r="E83" t="s">
        <v>0</v>
      </c>
      <c r="F83" s="1">
        <v>5</v>
      </c>
      <c r="G83" s="1">
        <v>31</v>
      </c>
      <c r="H83" s="1">
        <v>21</v>
      </c>
      <c r="I83" s="1" t="s">
        <v>6</v>
      </c>
      <c r="J83" s="1">
        <v>3</v>
      </c>
      <c r="K83" s="1" t="s">
        <v>7</v>
      </c>
      <c r="R83" t="str">
        <f t="shared" si="8"/>
        <v>Ack</v>
      </c>
    </row>
    <row r="84" spans="1:18" x14ac:dyDescent="0.25">
      <c r="A84" s="3">
        <f t="shared" si="5"/>
        <v>44761.539354131943</v>
      </c>
      <c r="B84" s="8" t="str">
        <f t="shared" si="6"/>
        <v>→</v>
      </c>
      <c r="C84" s="11">
        <f t="shared" si="7"/>
        <v>0.13400000000000001</v>
      </c>
      <c r="D84" s="2">
        <v>1658199400197</v>
      </c>
      <c r="E84" t="s">
        <v>0</v>
      </c>
      <c r="F84" s="1">
        <v>6</v>
      </c>
      <c r="G84" s="1">
        <v>21</v>
      </c>
      <c r="H84" s="1">
        <v>31</v>
      </c>
      <c r="I84" s="1">
        <v>29</v>
      </c>
      <c r="J84" s="1">
        <v>0</v>
      </c>
      <c r="K84" s="1" t="s">
        <v>13</v>
      </c>
      <c r="L84" s="1" t="s">
        <v>14</v>
      </c>
      <c r="R84" t="str">
        <f t="shared" si="8"/>
        <v>LONG PING FURNACE</v>
      </c>
    </row>
    <row r="85" spans="1:18" hidden="1" x14ac:dyDescent="0.25">
      <c r="A85" s="3">
        <f t="shared" si="5"/>
        <v>44761.539355081019</v>
      </c>
      <c r="B85" s="8" t="str">
        <f t="shared" si="6"/>
        <v>←</v>
      </c>
      <c r="C85" s="11">
        <f t="shared" si="7"/>
        <v>8.2000000000000003E-2</v>
      </c>
      <c r="D85" s="2">
        <v>1658199400279</v>
      </c>
      <c r="E85" t="s">
        <v>0</v>
      </c>
      <c r="F85" s="1">
        <v>5</v>
      </c>
      <c r="G85" s="1">
        <v>31</v>
      </c>
      <c r="H85" s="1">
        <v>21</v>
      </c>
      <c r="I85" s="1" t="s">
        <v>6</v>
      </c>
      <c r="J85" s="1">
        <v>3</v>
      </c>
      <c r="K85" s="1" t="s">
        <v>7</v>
      </c>
      <c r="R85" t="str">
        <f t="shared" si="8"/>
        <v>Ack</v>
      </c>
    </row>
    <row r="86" spans="1:18" hidden="1" x14ac:dyDescent="0.25">
      <c r="A86" s="3">
        <f t="shared" si="5"/>
        <v>44761.539356249996</v>
      </c>
      <c r="B86" s="8" t="str">
        <f t="shared" si="6"/>
        <v>→</v>
      </c>
      <c r="C86" s="11">
        <f t="shared" si="7"/>
        <v>0.10100000000000001</v>
      </c>
      <c r="D86" s="2">
        <v>1658199400380</v>
      </c>
      <c r="E86" t="s">
        <v>0</v>
      </c>
      <c r="F86" s="1">
        <v>5</v>
      </c>
      <c r="G86" s="1">
        <v>21</v>
      </c>
      <c r="H86" s="1">
        <v>31</v>
      </c>
      <c r="I86" s="1">
        <v>6</v>
      </c>
      <c r="J86" s="1">
        <v>60</v>
      </c>
      <c r="K86" s="1">
        <v>83</v>
      </c>
      <c r="R86" t="str">
        <f t="shared" si="8"/>
        <v>FURNACE STATUS REQUEST</v>
      </c>
    </row>
    <row r="87" spans="1:18" hidden="1" x14ac:dyDescent="0.25">
      <c r="A87" s="3">
        <f t="shared" si="5"/>
        <v>44761.539358032409</v>
      </c>
      <c r="B87" s="8" t="str">
        <f t="shared" si="6"/>
        <v>←</v>
      </c>
      <c r="C87" s="11">
        <f t="shared" si="7"/>
        <v>0.154</v>
      </c>
      <c r="D87" s="2">
        <v>1658199400534</v>
      </c>
      <c r="E87" t="s">
        <v>0</v>
      </c>
      <c r="F87" s="1">
        <v>9</v>
      </c>
      <c r="G87" s="1">
        <v>31</v>
      </c>
      <c r="H87" s="1">
        <v>21</v>
      </c>
      <c r="I87" s="1" t="s">
        <v>1</v>
      </c>
      <c r="J87" s="1">
        <v>0</v>
      </c>
      <c r="K87" s="1">
        <v>27</v>
      </c>
      <c r="L87" s="1">
        <v>0</v>
      </c>
      <c r="M87" s="1">
        <v>0</v>
      </c>
      <c r="N87" s="1" t="s">
        <v>2</v>
      </c>
      <c r="O87" s="1">
        <v>20</v>
      </c>
      <c r="R87" t="str">
        <f t="shared" si="8"/>
        <v>FURNACE STATUS RESPONSE Fan:1 Ignition:1 Burner:1 Unknown:20</v>
      </c>
    </row>
    <row r="88" spans="1:18" hidden="1" x14ac:dyDescent="0.25">
      <c r="A88" s="3">
        <f t="shared" si="5"/>
        <v>44761.54003971065</v>
      </c>
      <c r="B88" s="8" t="str">
        <f t="shared" si="6"/>
        <v>→</v>
      </c>
      <c r="C88" s="11">
        <f t="shared" si="7"/>
        <v>58.896999999999998</v>
      </c>
      <c r="D88" s="2">
        <v>1658199459431</v>
      </c>
      <c r="E88" t="s">
        <v>0</v>
      </c>
      <c r="F88" s="1">
        <v>8</v>
      </c>
      <c r="G88" s="1">
        <v>21</v>
      </c>
      <c r="H88" s="1">
        <v>31</v>
      </c>
      <c r="I88" s="1">
        <v>7</v>
      </c>
      <c r="J88" s="1" t="s">
        <v>68</v>
      </c>
      <c r="K88" s="1">
        <v>34</v>
      </c>
      <c r="L88" s="1">
        <v>1</v>
      </c>
      <c r="M88" s="1" t="s">
        <v>49</v>
      </c>
      <c r="N88" s="1" t="s">
        <v>111</v>
      </c>
      <c r="R88" t="str">
        <f t="shared" si="8"/>
        <v>TIME 12:52 Tue</v>
      </c>
    </row>
    <row r="89" spans="1:18" hidden="1" x14ac:dyDescent="0.25">
      <c r="A89" s="3">
        <f t="shared" si="5"/>
        <v>44761.54004107639</v>
      </c>
      <c r="B89" s="8" t="str">
        <f t="shared" si="6"/>
        <v>←</v>
      </c>
      <c r="C89" s="11">
        <f t="shared" si="7"/>
        <v>0.11799999999999999</v>
      </c>
      <c r="D89" s="2">
        <v>1658199459549</v>
      </c>
      <c r="E89" t="s">
        <v>0</v>
      </c>
      <c r="F89" s="1">
        <v>5</v>
      </c>
      <c r="G89" s="1">
        <v>31</v>
      </c>
      <c r="H89" s="1">
        <v>21</v>
      </c>
      <c r="I89" s="1" t="s">
        <v>6</v>
      </c>
      <c r="J89" s="1">
        <v>3</v>
      </c>
      <c r="K89" s="1" t="s">
        <v>7</v>
      </c>
      <c r="R89" t="str">
        <f t="shared" si="8"/>
        <v>Ack</v>
      </c>
    </row>
    <row r="90" spans="1:18" hidden="1" x14ac:dyDescent="0.25">
      <c r="A90" s="3">
        <f t="shared" si="5"/>
        <v>44761.540042199071</v>
      </c>
      <c r="B90" s="8" t="str">
        <f t="shared" si="6"/>
        <v>→</v>
      </c>
      <c r="C90" s="11">
        <f t="shared" si="7"/>
        <v>9.7000000000000003E-2</v>
      </c>
      <c r="D90" s="2">
        <v>1658199459646</v>
      </c>
      <c r="E90" t="s">
        <v>0</v>
      </c>
      <c r="F90" s="1">
        <v>5</v>
      </c>
      <c r="G90" s="1">
        <v>21</v>
      </c>
      <c r="H90" s="1">
        <v>31</v>
      </c>
      <c r="I90" s="1">
        <v>9</v>
      </c>
      <c r="J90" s="1">
        <v>60</v>
      </c>
      <c r="K90" s="1" t="s">
        <v>11</v>
      </c>
      <c r="R90" t="str">
        <f t="shared" si="8"/>
        <v>PING FURNACE</v>
      </c>
    </row>
    <row r="91" spans="1:18" hidden="1" x14ac:dyDescent="0.25">
      <c r="A91" s="3">
        <f t="shared" si="5"/>
        <v>44761.540043472218</v>
      </c>
      <c r="B91" s="8" t="str">
        <f t="shared" si="6"/>
        <v>←</v>
      </c>
      <c r="C91" s="11">
        <f t="shared" si="7"/>
        <v>0.11</v>
      </c>
      <c r="D91" s="2">
        <v>1658199459756</v>
      </c>
      <c r="E91" t="s">
        <v>0</v>
      </c>
      <c r="F91" s="1">
        <v>5</v>
      </c>
      <c r="G91" s="1">
        <v>31</v>
      </c>
      <c r="H91" s="1">
        <v>21</v>
      </c>
      <c r="I91" s="1" t="s">
        <v>6</v>
      </c>
      <c r="J91" s="1">
        <v>3</v>
      </c>
      <c r="K91" s="1" t="s">
        <v>7</v>
      </c>
      <c r="R91" t="str">
        <f t="shared" si="8"/>
        <v>Ack</v>
      </c>
    </row>
    <row r="92" spans="1:18" hidden="1" x14ac:dyDescent="0.25">
      <c r="A92" s="3">
        <f t="shared" si="5"/>
        <v>44761.540045277776</v>
      </c>
      <c r="B92" s="8" t="str">
        <f t="shared" si="6"/>
        <v>→</v>
      </c>
      <c r="C92" s="11">
        <f t="shared" si="7"/>
        <v>0.156</v>
      </c>
      <c r="D92" s="2">
        <v>1658199459912</v>
      </c>
      <c r="E92" t="s">
        <v>0</v>
      </c>
      <c r="F92" s="1" t="s">
        <v>3</v>
      </c>
      <c r="G92" s="1">
        <v>21</v>
      </c>
      <c r="H92" s="1">
        <v>31</v>
      </c>
      <c r="I92" s="1" t="s">
        <v>3</v>
      </c>
      <c r="J92" s="1" t="s">
        <v>6</v>
      </c>
      <c r="K92" s="1">
        <v>12</v>
      </c>
      <c r="L92" s="1">
        <v>22</v>
      </c>
      <c r="M92" s="1">
        <v>1</v>
      </c>
      <c r="N92" s="1">
        <v>0</v>
      </c>
      <c r="O92" s="1">
        <v>0</v>
      </c>
      <c r="P92" s="1" t="s">
        <v>55</v>
      </c>
      <c r="Q92" s="1">
        <v>72</v>
      </c>
      <c r="R92" t="str">
        <f t="shared" si="8"/>
        <v>TEMPERATURE INFO Set:18 Actual:17 Countdown:0</v>
      </c>
    </row>
    <row r="93" spans="1:18" hidden="1" x14ac:dyDescent="0.25">
      <c r="A93" s="3">
        <f t="shared" si="5"/>
        <v>44761.540046805552</v>
      </c>
      <c r="B93" s="8" t="str">
        <f t="shared" si="6"/>
        <v>←</v>
      </c>
      <c r="C93" s="11">
        <f t="shared" si="7"/>
        <v>0.13200000000000001</v>
      </c>
      <c r="D93" s="2">
        <v>1658199460044</v>
      </c>
      <c r="E93" t="s">
        <v>0</v>
      </c>
      <c r="F93" s="1">
        <v>5</v>
      </c>
      <c r="G93" s="1">
        <v>31</v>
      </c>
      <c r="H93" s="1">
        <v>21</v>
      </c>
      <c r="I93" s="1" t="s">
        <v>6</v>
      </c>
      <c r="J93" s="1">
        <v>3</v>
      </c>
      <c r="K93" s="1" t="s">
        <v>7</v>
      </c>
      <c r="R93" t="str">
        <f t="shared" si="8"/>
        <v>Ack</v>
      </c>
    </row>
    <row r="94" spans="1:18" x14ac:dyDescent="0.25">
      <c r="A94" s="3">
        <f t="shared" si="5"/>
        <v>44761.540047974537</v>
      </c>
      <c r="B94" s="8" t="str">
        <f t="shared" si="6"/>
        <v>→</v>
      </c>
      <c r="C94" s="11">
        <f t="shared" si="7"/>
        <v>0.10100000000000001</v>
      </c>
      <c r="D94" s="2">
        <v>1658199460145</v>
      </c>
      <c r="E94" t="s">
        <v>0</v>
      </c>
      <c r="F94" s="1">
        <v>6</v>
      </c>
      <c r="G94" s="1">
        <v>21</v>
      </c>
      <c r="H94" s="1">
        <v>31</v>
      </c>
      <c r="I94" s="1">
        <v>29</v>
      </c>
      <c r="J94" s="1">
        <v>0</v>
      </c>
      <c r="K94" s="1" t="s">
        <v>13</v>
      </c>
      <c r="L94" s="1" t="s">
        <v>14</v>
      </c>
      <c r="R94" t="str">
        <f t="shared" si="8"/>
        <v>LONG PING FURNACE</v>
      </c>
    </row>
    <row r="95" spans="1:18" hidden="1" x14ac:dyDescent="0.25">
      <c r="A95" s="3">
        <f t="shared" si="5"/>
        <v>44761.540049386567</v>
      </c>
      <c r="B95" s="8" t="str">
        <f t="shared" si="6"/>
        <v>←</v>
      </c>
      <c r="C95" s="11">
        <f t="shared" si="7"/>
        <v>0.122</v>
      </c>
      <c r="D95" s="2">
        <v>1658199460267</v>
      </c>
      <c r="E95" t="s">
        <v>0</v>
      </c>
      <c r="F95" s="1">
        <v>5</v>
      </c>
      <c r="G95" s="1">
        <v>31</v>
      </c>
      <c r="H95" s="1">
        <v>21</v>
      </c>
      <c r="I95" s="1" t="s">
        <v>6</v>
      </c>
      <c r="J95" s="1">
        <v>3</v>
      </c>
      <c r="K95" s="1" t="s">
        <v>7</v>
      </c>
      <c r="R95" t="str">
        <f t="shared" si="8"/>
        <v>Ack</v>
      </c>
    </row>
    <row r="96" spans="1:18" hidden="1" x14ac:dyDescent="0.25">
      <c r="A96" s="3">
        <f t="shared" si="5"/>
        <v>44761.540050393516</v>
      </c>
      <c r="B96" s="8" t="str">
        <f t="shared" si="6"/>
        <v>→</v>
      </c>
      <c r="C96" s="11">
        <f t="shared" si="7"/>
        <v>8.6999999999999994E-2</v>
      </c>
      <c r="D96" s="2">
        <v>1658199460354</v>
      </c>
      <c r="E96" t="s">
        <v>0</v>
      </c>
      <c r="F96" s="1">
        <v>5</v>
      </c>
      <c r="G96" s="1">
        <v>21</v>
      </c>
      <c r="H96" s="1">
        <v>31</v>
      </c>
      <c r="I96" s="1">
        <v>6</v>
      </c>
      <c r="J96" s="1">
        <v>60</v>
      </c>
      <c r="K96" s="1">
        <v>83</v>
      </c>
      <c r="R96" t="str">
        <f t="shared" si="8"/>
        <v>FURNACE STATUS REQUEST</v>
      </c>
    </row>
    <row r="97" spans="1:18" hidden="1" x14ac:dyDescent="0.25">
      <c r="A97" s="3">
        <f t="shared" si="5"/>
        <v>44761.540052164353</v>
      </c>
      <c r="B97" s="8" t="str">
        <f t="shared" si="6"/>
        <v>←</v>
      </c>
      <c r="C97" s="11">
        <f t="shared" si="7"/>
        <v>0.153</v>
      </c>
      <c r="D97" s="2">
        <v>1658199460507</v>
      </c>
      <c r="E97" t="s">
        <v>0</v>
      </c>
      <c r="F97" s="1">
        <v>9</v>
      </c>
      <c r="G97" s="1">
        <v>31</v>
      </c>
      <c r="H97" s="1">
        <v>21</v>
      </c>
      <c r="I97" s="1" t="s">
        <v>1</v>
      </c>
      <c r="J97" s="1">
        <v>0</v>
      </c>
      <c r="K97" s="1">
        <v>27</v>
      </c>
      <c r="L97" s="1">
        <v>0</v>
      </c>
      <c r="M97" s="1">
        <v>0</v>
      </c>
      <c r="N97" s="1" t="s">
        <v>2</v>
      </c>
      <c r="O97" s="1">
        <v>20</v>
      </c>
      <c r="R97" t="str">
        <f t="shared" si="8"/>
        <v>FURNACE STATUS RESPONSE Fan:1 Ignition:1 Burner:1 Unknown:20</v>
      </c>
    </row>
    <row r="98" spans="1:18" hidden="1" x14ac:dyDescent="0.25">
      <c r="A98" s="3">
        <f t="shared" ref="A98:A161" si="9">D98/(1000*60*60*24)+25569+10/24</f>
        <v>44761.540734421294</v>
      </c>
      <c r="B98" s="8" t="str">
        <f t="shared" ref="B98:B161" si="10">IF(AND(G98=21,H98=31),"→",IF(AND(G98=31,H98=21),"←","Error"))</f>
        <v>→</v>
      </c>
      <c r="C98" s="11">
        <f t="shared" ref="C98:C161" si="11">(D98-D97)/1000</f>
        <v>58.947000000000003</v>
      </c>
      <c r="D98" s="2">
        <v>1658199519454</v>
      </c>
      <c r="E98" t="s">
        <v>0</v>
      </c>
      <c r="F98" s="1">
        <v>8</v>
      </c>
      <c r="G98" s="1">
        <v>21</v>
      </c>
      <c r="H98" s="1">
        <v>31</v>
      </c>
      <c r="I98" s="1">
        <v>7</v>
      </c>
      <c r="J98" s="1" t="s">
        <v>68</v>
      </c>
      <c r="K98" s="1">
        <v>35</v>
      </c>
      <c r="L98" s="1">
        <v>1</v>
      </c>
      <c r="M98" s="1" t="s">
        <v>12</v>
      </c>
      <c r="N98" s="1" t="s">
        <v>59</v>
      </c>
      <c r="R98" t="str">
        <f t="shared" si="8"/>
        <v>TIME 12:53 Tue</v>
      </c>
    </row>
    <row r="99" spans="1:18" hidden="1" x14ac:dyDescent="0.25">
      <c r="A99" s="3">
        <f t="shared" si="9"/>
        <v>44761.540735543975</v>
      </c>
      <c r="B99" s="8" t="str">
        <f t="shared" si="10"/>
        <v>←</v>
      </c>
      <c r="C99" s="11">
        <f t="shared" si="11"/>
        <v>9.7000000000000003E-2</v>
      </c>
      <c r="D99" s="2">
        <v>1658199519551</v>
      </c>
      <c r="E99" t="s">
        <v>0</v>
      </c>
      <c r="F99" s="1">
        <v>5</v>
      </c>
      <c r="G99" s="1">
        <v>31</v>
      </c>
      <c r="H99" s="1">
        <v>21</v>
      </c>
      <c r="I99" s="1" t="s">
        <v>6</v>
      </c>
      <c r="J99" s="1">
        <v>3</v>
      </c>
      <c r="K99" s="1" t="s">
        <v>7</v>
      </c>
      <c r="R99" t="str">
        <f t="shared" si="8"/>
        <v>Ack</v>
      </c>
    </row>
    <row r="100" spans="1:18" hidden="1" x14ac:dyDescent="0.25">
      <c r="A100" s="3">
        <f t="shared" si="9"/>
        <v>44761.540736643517</v>
      </c>
      <c r="B100" s="8" t="str">
        <f t="shared" si="10"/>
        <v>→</v>
      </c>
      <c r="C100" s="11">
        <f t="shared" si="11"/>
        <v>9.5000000000000001E-2</v>
      </c>
      <c r="D100" s="2">
        <v>1658199519646</v>
      </c>
      <c r="E100" t="s">
        <v>0</v>
      </c>
      <c r="F100" s="1">
        <v>5</v>
      </c>
      <c r="G100" s="1">
        <v>21</v>
      </c>
      <c r="H100" s="1">
        <v>31</v>
      </c>
      <c r="I100" s="1">
        <v>9</v>
      </c>
      <c r="J100" s="1">
        <v>60</v>
      </c>
      <c r="K100" s="1" t="s">
        <v>11</v>
      </c>
      <c r="R100" t="str">
        <f t="shared" si="8"/>
        <v>PING FURNACE</v>
      </c>
    </row>
    <row r="101" spans="1:18" hidden="1" x14ac:dyDescent="0.25">
      <c r="A101" s="3">
        <f t="shared" si="9"/>
        <v>44761.540737951385</v>
      </c>
      <c r="B101" s="8" t="str">
        <f t="shared" si="10"/>
        <v>←</v>
      </c>
      <c r="C101" s="11">
        <f t="shared" si="11"/>
        <v>0.113</v>
      </c>
      <c r="D101" s="2">
        <v>1658199519759</v>
      </c>
      <c r="E101" t="s">
        <v>0</v>
      </c>
      <c r="F101" s="1">
        <v>5</v>
      </c>
      <c r="G101" s="1">
        <v>31</v>
      </c>
      <c r="H101" s="1">
        <v>21</v>
      </c>
      <c r="I101" s="1" t="s">
        <v>6</v>
      </c>
      <c r="J101" s="1">
        <v>3</v>
      </c>
      <c r="K101" s="1" t="s">
        <v>7</v>
      </c>
      <c r="R101" t="str">
        <f t="shared" si="8"/>
        <v>Ack</v>
      </c>
    </row>
    <row r="102" spans="1:18" hidden="1" x14ac:dyDescent="0.25">
      <c r="A102" s="3">
        <f t="shared" si="9"/>
        <v>44761.540739849537</v>
      </c>
      <c r="B102" s="8" t="str">
        <f t="shared" si="10"/>
        <v>→</v>
      </c>
      <c r="C102" s="11">
        <f t="shared" si="11"/>
        <v>0.16400000000000001</v>
      </c>
      <c r="D102" s="2">
        <v>1658199519923</v>
      </c>
      <c r="E102" t="s">
        <v>0</v>
      </c>
      <c r="F102" s="1" t="s">
        <v>3</v>
      </c>
      <c r="G102" s="1">
        <v>21</v>
      </c>
      <c r="H102" s="1">
        <v>31</v>
      </c>
      <c r="I102" s="1" t="s">
        <v>3</v>
      </c>
      <c r="J102" s="1" t="s">
        <v>6</v>
      </c>
      <c r="K102" s="1">
        <v>12</v>
      </c>
      <c r="L102" s="1">
        <v>22</v>
      </c>
      <c r="M102" s="1">
        <v>1</v>
      </c>
      <c r="N102" s="1">
        <v>0</v>
      </c>
      <c r="O102" s="1">
        <v>0</v>
      </c>
      <c r="P102" s="1" t="s">
        <v>55</v>
      </c>
      <c r="Q102" s="1">
        <v>72</v>
      </c>
      <c r="R102" t="str">
        <f t="shared" si="8"/>
        <v>TEMPERATURE INFO Set:18 Actual:17 Countdown:0</v>
      </c>
    </row>
    <row r="103" spans="1:18" hidden="1" x14ac:dyDescent="0.25">
      <c r="A103" s="3">
        <f t="shared" si="9"/>
        <v>44761.540741064811</v>
      </c>
      <c r="B103" s="8" t="str">
        <f t="shared" si="10"/>
        <v>←</v>
      </c>
      <c r="C103" s="11">
        <f t="shared" si="11"/>
        <v>0.105</v>
      </c>
      <c r="D103" s="2">
        <v>1658199520028</v>
      </c>
      <c r="E103" t="s">
        <v>0</v>
      </c>
      <c r="F103" s="1">
        <v>5</v>
      </c>
      <c r="G103" s="1">
        <v>31</v>
      </c>
      <c r="H103" s="1">
        <v>21</v>
      </c>
      <c r="I103" s="1" t="s">
        <v>6</v>
      </c>
      <c r="J103" s="1">
        <v>3</v>
      </c>
      <c r="K103" s="1" t="s">
        <v>7</v>
      </c>
      <c r="R103" t="str">
        <f t="shared" si="8"/>
        <v>Ack</v>
      </c>
    </row>
    <row r="104" spans="1:18" x14ac:dyDescent="0.25">
      <c r="A104" s="3">
        <f t="shared" si="9"/>
        <v>44761.54074261574</v>
      </c>
      <c r="B104" s="8" t="str">
        <f t="shared" si="10"/>
        <v>→</v>
      </c>
      <c r="C104" s="11">
        <f t="shared" si="11"/>
        <v>0.13400000000000001</v>
      </c>
      <c r="D104" s="2">
        <v>1658199520162</v>
      </c>
      <c r="E104" t="s">
        <v>0</v>
      </c>
      <c r="F104" s="1">
        <v>6</v>
      </c>
      <c r="G104" s="1">
        <v>21</v>
      </c>
      <c r="H104" s="1">
        <v>31</v>
      </c>
      <c r="I104" s="1">
        <v>29</v>
      </c>
      <c r="J104" s="1">
        <v>0</v>
      </c>
      <c r="K104" s="1" t="s">
        <v>13</v>
      </c>
      <c r="L104" s="1" t="s">
        <v>14</v>
      </c>
      <c r="R104" t="str">
        <f t="shared" si="8"/>
        <v>LONG PING FURNACE</v>
      </c>
    </row>
    <row r="105" spans="1:18" hidden="1" x14ac:dyDescent="0.25">
      <c r="A105" s="3">
        <f t="shared" si="9"/>
        <v>44761.5407442824</v>
      </c>
      <c r="B105" s="8" t="str">
        <f t="shared" si="10"/>
        <v>←</v>
      </c>
      <c r="C105" s="11">
        <f t="shared" si="11"/>
        <v>0.14399999999999999</v>
      </c>
      <c r="D105" s="2">
        <v>1658199520306</v>
      </c>
      <c r="E105" t="s">
        <v>0</v>
      </c>
      <c r="F105" s="1">
        <v>5</v>
      </c>
      <c r="G105" s="1">
        <v>31</v>
      </c>
      <c r="H105" s="1">
        <v>21</v>
      </c>
      <c r="I105" s="1" t="s">
        <v>6</v>
      </c>
      <c r="J105" s="1">
        <v>3</v>
      </c>
      <c r="K105" s="1" t="s">
        <v>7</v>
      </c>
      <c r="R105" t="str">
        <f t="shared" si="8"/>
        <v>Ack</v>
      </c>
    </row>
    <row r="106" spans="1:18" hidden="1" x14ac:dyDescent="0.25">
      <c r="A106" s="3">
        <f t="shared" si="9"/>
        <v>44761.54074506944</v>
      </c>
      <c r="B106" s="8" t="str">
        <f t="shared" si="10"/>
        <v>→</v>
      </c>
      <c r="C106" s="11">
        <f t="shared" si="11"/>
        <v>6.8000000000000005E-2</v>
      </c>
      <c r="D106" s="2">
        <v>1658199520374</v>
      </c>
      <c r="E106" t="s">
        <v>0</v>
      </c>
      <c r="F106" s="1">
        <v>5</v>
      </c>
      <c r="G106" s="1">
        <v>21</v>
      </c>
      <c r="H106" s="1">
        <v>31</v>
      </c>
      <c r="I106" s="1">
        <v>6</v>
      </c>
      <c r="J106" s="1">
        <v>60</v>
      </c>
      <c r="K106" s="1">
        <v>83</v>
      </c>
      <c r="R106" t="str">
        <f t="shared" si="8"/>
        <v>FURNACE STATUS REQUEST</v>
      </c>
    </row>
    <row r="107" spans="1:18" hidden="1" x14ac:dyDescent="0.25">
      <c r="A107" s="3">
        <f t="shared" si="9"/>
        <v>44761.540746967592</v>
      </c>
      <c r="B107" s="8" t="str">
        <f t="shared" si="10"/>
        <v>←</v>
      </c>
      <c r="C107" s="11">
        <f t="shared" si="11"/>
        <v>0.16400000000000001</v>
      </c>
      <c r="D107" s="2">
        <v>1658199520538</v>
      </c>
      <c r="E107" t="s">
        <v>0</v>
      </c>
      <c r="F107" s="1">
        <v>9</v>
      </c>
      <c r="G107" s="1">
        <v>31</v>
      </c>
      <c r="H107" s="1">
        <v>21</v>
      </c>
      <c r="I107" s="1" t="s">
        <v>1</v>
      </c>
      <c r="J107" s="1">
        <v>0</v>
      </c>
      <c r="K107" s="1">
        <v>27</v>
      </c>
      <c r="L107" s="1">
        <v>0</v>
      </c>
      <c r="M107" s="1">
        <v>0</v>
      </c>
      <c r="N107" s="1" t="s">
        <v>2</v>
      </c>
      <c r="O107" s="1">
        <v>20</v>
      </c>
      <c r="R107" t="str">
        <f t="shared" si="8"/>
        <v>FURNACE STATUS RESPONSE Fan:1 Ignition:1 Burner:1 Unknown:20</v>
      </c>
    </row>
    <row r="108" spans="1:18" hidden="1" x14ac:dyDescent="0.25">
      <c r="A108" s="3">
        <f t="shared" si="9"/>
        <v>44761.541428807868</v>
      </c>
      <c r="B108" s="8" t="str">
        <f t="shared" si="10"/>
        <v>→</v>
      </c>
      <c r="C108" s="11">
        <f t="shared" si="11"/>
        <v>58.911000000000001</v>
      </c>
      <c r="D108" s="2">
        <v>1658199579449</v>
      </c>
      <c r="E108" t="s">
        <v>0</v>
      </c>
      <c r="F108" s="1">
        <v>8</v>
      </c>
      <c r="G108" s="1">
        <v>21</v>
      </c>
      <c r="H108" s="1">
        <v>31</v>
      </c>
      <c r="I108" s="1">
        <v>7</v>
      </c>
      <c r="J108" s="1" t="s">
        <v>68</v>
      </c>
      <c r="K108" s="1">
        <v>36</v>
      </c>
      <c r="L108" s="1">
        <v>1</v>
      </c>
      <c r="M108" s="1" t="s">
        <v>25</v>
      </c>
      <c r="N108" s="1" t="s">
        <v>59</v>
      </c>
      <c r="R108" t="str">
        <f t="shared" si="8"/>
        <v>TIME 12:54 Tue</v>
      </c>
    </row>
    <row r="109" spans="1:18" hidden="1" x14ac:dyDescent="0.25">
      <c r="A109" s="3">
        <f t="shared" si="9"/>
        <v>44761.541430023142</v>
      </c>
      <c r="B109" s="8" t="str">
        <f t="shared" si="10"/>
        <v>←</v>
      </c>
      <c r="C109" s="11">
        <f t="shared" si="11"/>
        <v>0.105</v>
      </c>
      <c r="D109" s="2">
        <v>1658199579554</v>
      </c>
      <c r="E109" t="s">
        <v>0</v>
      </c>
      <c r="F109" s="1">
        <v>5</v>
      </c>
      <c r="G109" s="1">
        <v>31</v>
      </c>
      <c r="H109" s="1">
        <v>21</v>
      </c>
      <c r="I109" s="1" t="s">
        <v>6</v>
      </c>
      <c r="J109" s="1">
        <v>3</v>
      </c>
      <c r="K109" s="1" t="s">
        <v>7</v>
      </c>
      <c r="R109" t="str">
        <f t="shared" si="8"/>
        <v>Ack</v>
      </c>
    </row>
    <row r="110" spans="1:18" hidden="1" x14ac:dyDescent="0.25">
      <c r="A110" s="3">
        <f t="shared" si="9"/>
        <v>44761.541431388883</v>
      </c>
      <c r="B110" s="8" t="str">
        <f t="shared" si="10"/>
        <v>→</v>
      </c>
      <c r="C110" s="11">
        <f t="shared" si="11"/>
        <v>0.11799999999999999</v>
      </c>
      <c r="D110" s="2">
        <v>1658199579672</v>
      </c>
      <c r="E110" t="s">
        <v>0</v>
      </c>
      <c r="F110" s="1">
        <v>5</v>
      </c>
      <c r="G110" s="1">
        <v>21</v>
      </c>
      <c r="H110" s="1">
        <v>31</v>
      </c>
      <c r="I110" s="1">
        <v>9</v>
      </c>
      <c r="J110" s="1">
        <v>60</v>
      </c>
      <c r="K110" s="1" t="s">
        <v>11</v>
      </c>
      <c r="R110" t="str">
        <f t="shared" si="8"/>
        <v>PING FURNACE</v>
      </c>
    </row>
    <row r="111" spans="1:18" hidden="1" x14ac:dyDescent="0.25">
      <c r="A111" s="3">
        <f t="shared" si="9"/>
        <v>44761.541432893515</v>
      </c>
      <c r="B111" s="8" t="str">
        <f t="shared" si="10"/>
        <v>←</v>
      </c>
      <c r="C111" s="11">
        <f t="shared" si="11"/>
        <v>0.13</v>
      </c>
      <c r="D111" s="2">
        <v>1658199579802</v>
      </c>
      <c r="E111" t="s">
        <v>0</v>
      </c>
      <c r="F111" s="1">
        <v>5</v>
      </c>
      <c r="G111" s="1">
        <v>31</v>
      </c>
      <c r="H111" s="1">
        <v>21</v>
      </c>
      <c r="I111" s="1" t="s">
        <v>6</v>
      </c>
      <c r="J111" s="1">
        <v>3</v>
      </c>
      <c r="K111" s="1" t="s">
        <v>7</v>
      </c>
      <c r="R111" t="str">
        <f t="shared" si="8"/>
        <v>Ack</v>
      </c>
    </row>
    <row r="112" spans="1:18" hidden="1" x14ac:dyDescent="0.25">
      <c r="A112" s="3">
        <f t="shared" si="9"/>
        <v>44761.541434872684</v>
      </c>
      <c r="B112" s="8" t="str">
        <f t="shared" si="10"/>
        <v>→</v>
      </c>
      <c r="C112" s="11">
        <f t="shared" si="11"/>
        <v>0.17100000000000001</v>
      </c>
      <c r="D112" s="2">
        <v>1658199579973</v>
      </c>
      <c r="E112" t="s">
        <v>0</v>
      </c>
      <c r="F112" s="1" t="s">
        <v>3</v>
      </c>
      <c r="G112" s="1">
        <v>21</v>
      </c>
      <c r="H112" s="1">
        <v>31</v>
      </c>
      <c r="I112" s="1" t="s">
        <v>3</v>
      </c>
      <c r="J112" s="1" t="s">
        <v>6</v>
      </c>
      <c r="K112" s="1">
        <v>12</v>
      </c>
      <c r="L112" s="1">
        <v>22</v>
      </c>
      <c r="M112" s="1">
        <v>1</v>
      </c>
      <c r="N112" s="1">
        <v>0</v>
      </c>
      <c r="O112" s="1">
        <v>0</v>
      </c>
      <c r="P112" s="1" t="s">
        <v>55</v>
      </c>
      <c r="Q112" s="1">
        <v>72</v>
      </c>
      <c r="R112" t="str">
        <f t="shared" si="8"/>
        <v>TEMPERATURE INFO Set:18 Actual:17 Countdown:0</v>
      </c>
    </row>
    <row r="113" spans="1:18" hidden="1" x14ac:dyDescent="0.25">
      <c r="A113" s="3">
        <f t="shared" si="9"/>
        <v>44761.541436111111</v>
      </c>
      <c r="B113" s="8" t="str">
        <f t="shared" si="10"/>
        <v>←</v>
      </c>
      <c r="C113" s="11">
        <f t="shared" si="11"/>
        <v>0.107</v>
      </c>
      <c r="D113" s="2">
        <v>1658199580080</v>
      </c>
      <c r="E113" t="s">
        <v>0</v>
      </c>
      <c r="F113" s="1">
        <v>5</v>
      </c>
      <c r="G113" s="1">
        <v>31</v>
      </c>
      <c r="H113" s="1">
        <v>21</v>
      </c>
      <c r="I113" s="1" t="s">
        <v>6</v>
      </c>
      <c r="J113" s="1">
        <v>3</v>
      </c>
      <c r="K113" s="1" t="s">
        <v>7</v>
      </c>
      <c r="R113" t="str">
        <f t="shared" si="8"/>
        <v>Ack</v>
      </c>
    </row>
    <row r="114" spans="1:18" x14ac:dyDescent="0.25">
      <c r="A114" s="3">
        <f t="shared" si="9"/>
        <v>44761.54143715278</v>
      </c>
      <c r="B114" s="8" t="str">
        <f t="shared" si="10"/>
        <v>→</v>
      </c>
      <c r="C114" s="11">
        <f t="shared" si="11"/>
        <v>0.09</v>
      </c>
      <c r="D114" s="2">
        <v>1658199580170</v>
      </c>
      <c r="E114" t="s">
        <v>0</v>
      </c>
      <c r="F114" s="1">
        <v>6</v>
      </c>
      <c r="G114" s="1">
        <v>21</v>
      </c>
      <c r="H114" s="1">
        <v>31</v>
      </c>
      <c r="I114" s="1">
        <v>29</v>
      </c>
      <c r="J114" s="1">
        <v>0</v>
      </c>
      <c r="K114" s="1" t="s">
        <v>13</v>
      </c>
      <c r="L114" s="1" t="s">
        <v>14</v>
      </c>
      <c r="R114" t="str">
        <f t="shared" si="8"/>
        <v>LONG PING FURNACE</v>
      </c>
    </row>
    <row r="115" spans="1:18" hidden="1" x14ac:dyDescent="0.25">
      <c r="A115" s="3">
        <f t="shared" si="9"/>
        <v>44761.541438611108</v>
      </c>
      <c r="B115" s="8" t="str">
        <f t="shared" si="10"/>
        <v>←</v>
      </c>
      <c r="C115" s="11">
        <f t="shared" si="11"/>
        <v>0.126</v>
      </c>
      <c r="D115" s="2">
        <v>1658199580296</v>
      </c>
      <c r="E115" t="s">
        <v>0</v>
      </c>
      <c r="F115" s="1">
        <v>5</v>
      </c>
      <c r="G115" s="1">
        <v>31</v>
      </c>
      <c r="H115" s="1">
        <v>21</v>
      </c>
      <c r="I115" s="1" t="s">
        <v>6</v>
      </c>
      <c r="J115" s="1">
        <v>3</v>
      </c>
      <c r="K115" s="1" t="s">
        <v>7</v>
      </c>
      <c r="R115" t="str">
        <f t="shared" si="8"/>
        <v>Ack</v>
      </c>
    </row>
    <row r="116" spans="1:18" hidden="1" x14ac:dyDescent="0.25">
      <c r="A116" s="3">
        <f t="shared" si="9"/>
        <v>44761.541439502311</v>
      </c>
      <c r="B116" s="8" t="str">
        <f t="shared" si="10"/>
        <v>→</v>
      </c>
      <c r="C116" s="11">
        <f t="shared" si="11"/>
        <v>7.6999999999999999E-2</v>
      </c>
      <c r="D116" s="2">
        <v>1658199580373</v>
      </c>
      <c r="E116" t="s">
        <v>0</v>
      </c>
      <c r="F116" s="1">
        <v>5</v>
      </c>
      <c r="G116" s="1">
        <v>21</v>
      </c>
      <c r="H116" s="1">
        <v>31</v>
      </c>
      <c r="I116" s="1">
        <v>6</v>
      </c>
      <c r="J116" s="1">
        <v>60</v>
      </c>
      <c r="K116" s="1">
        <v>83</v>
      </c>
      <c r="R116" t="str">
        <f t="shared" si="8"/>
        <v>FURNACE STATUS REQUEST</v>
      </c>
    </row>
    <row r="117" spans="1:18" hidden="1" x14ac:dyDescent="0.25">
      <c r="A117" s="3">
        <f t="shared" si="9"/>
        <v>44761.541441215275</v>
      </c>
      <c r="B117" s="8" t="str">
        <f t="shared" si="10"/>
        <v>←</v>
      </c>
      <c r="C117" s="11">
        <f t="shared" si="11"/>
        <v>0.14799999999999999</v>
      </c>
      <c r="D117" s="2">
        <v>1658199580521</v>
      </c>
      <c r="E117" t="s">
        <v>0</v>
      </c>
      <c r="F117" s="1">
        <v>9</v>
      </c>
      <c r="G117" s="1">
        <v>31</v>
      </c>
      <c r="H117" s="1">
        <v>21</v>
      </c>
      <c r="I117" s="1" t="s">
        <v>1</v>
      </c>
      <c r="J117" s="1">
        <v>0</v>
      </c>
      <c r="K117" s="1">
        <v>27</v>
      </c>
      <c r="L117" s="1">
        <v>0</v>
      </c>
      <c r="M117" s="1">
        <v>0</v>
      </c>
      <c r="N117" s="1" t="s">
        <v>2</v>
      </c>
      <c r="O117" s="1">
        <v>20</v>
      </c>
      <c r="R117" t="str">
        <f t="shared" si="8"/>
        <v>FURNACE STATUS RESPONSE Fan:1 Ignition:1 Burner:1 Unknown:20</v>
      </c>
    </row>
    <row r="118" spans="1:18" hidden="1" x14ac:dyDescent="0.25">
      <c r="A118" s="3">
        <f t="shared" si="9"/>
        <v>44761.542123263884</v>
      </c>
      <c r="B118" s="8" t="str">
        <f t="shared" si="10"/>
        <v>→</v>
      </c>
      <c r="C118" s="11">
        <f t="shared" si="11"/>
        <v>58.929000000000002</v>
      </c>
      <c r="D118" s="2">
        <v>1658199639450</v>
      </c>
      <c r="E118" t="s">
        <v>0</v>
      </c>
      <c r="F118" s="1">
        <v>8</v>
      </c>
      <c r="G118" s="1">
        <v>21</v>
      </c>
      <c r="H118" s="1">
        <v>31</v>
      </c>
      <c r="I118" s="1">
        <v>7</v>
      </c>
      <c r="J118" s="1" t="s">
        <v>68</v>
      </c>
      <c r="K118" s="1">
        <v>37</v>
      </c>
      <c r="L118" s="1">
        <v>1</v>
      </c>
      <c r="M118" s="1">
        <v>26</v>
      </c>
      <c r="N118" s="1" t="s">
        <v>111</v>
      </c>
      <c r="R118" t="str">
        <f t="shared" si="8"/>
        <v>TIME 12:55 Tue</v>
      </c>
    </row>
    <row r="119" spans="1:18" hidden="1" x14ac:dyDescent="0.25">
      <c r="A119" s="3">
        <f t="shared" si="9"/>
        <v>44761.542124594904</v>
      </c>
      <c r="B119" s="8" t="str">
        <f t="shared" si="10"/>
        <v>←</v>
      </c>
      <c r="C119" s="11">
        <f t="shared" si="11"/>
        <v>0.115</v>
      </c>
      <c r="D119" s="2">
        <v>1658199639565</v>
      </c>
      <c r="E119" t="s">
        <v>0</v>
      </c>
      <c r="F119" s="1">
        <v>5</v>
      </c>
      <c r="G119" s="1">
        <v>31</v>
      </c>
      <c r="H119" s="1">
        <v>21</v>
      </c>
      <c r="I119" s="1" t="s">
        <v>6</v>
      </c>
      <c r="J119" s="1">
        <v>3</v>
      </c>
      <c r="K119" s="1" t="s">
        <v>7</v>
      </c>
      <c r="R119" t="str">
        <f t="shared" si="8"/>
        <v>Ack</v>
      </c>
    </row>
    <row r="120" spans="1:18" hidden="1" x14ac:dyDescent="0.25">
      <c r="A120" s="3">
        <f t="shared" si="9"/>
        <v>44761.542125763888</v>
      </c>
      <c r="B120" s="8" t="str">
        <f t="shared" si="10"/>
        <v>→</v>
      </c>
      <c r="C120" s="11">
        <f t="shared" si="11"/>
        <v>0.10100000000000001</v>
      </c>
      <c r="D120" s="2">
        <v>1658199639666</v>
      </c>
      <c r="E120" t="s">
        <v>0</v>
      </c>
      <c r="F120" s="1">
        <v>5</v>
      </c>
      <c r="G120" s="1">
        <v>21</v>
      </c>
      <c r="H120" s="1">
        <v>31</v>
      </c>
      <c r="I120" s="1">
        <v>9</v>
      </c>
      <c r="J120" s="1">
        <v>60</v>
      </c>
      <c r="K120" s="1" t="s">
        <v>11</v>
      </c>
      <c r="R120" t="str">
        <f t="shared" si="8"/>
        <v>PING FURNACE</v>
      </c>
    </row>
    <row r="121" spans="1:18" hidden="1" x14ac:dyDescent="0.25">
      <c r="A121" s="3">
        <f t="shared" si="9"/>
        <v>44761.542127013883</v>
      </c>
      <c r="B121" s="8" t="str">
        <f t="shared" si="10"/>
        <v>←</v>
      </c>
      <c r="C121" s="11">
        <f t="shared" si="11"/>
        <v>0.108</v>
      </c>
      <c r="D121" s="2">
        <v>1658199639774</v>
      </c>
      <c r="E121" t="s">
        <v>0</v>
      </c>
      <c r="F121" s="1">
        <v>5</v>
      </c>
      <c r="G121" s="1">
        <v>31</v>
      </c>
      <c r="H121" s="1">
        <v>21</v>
      </c>
      <c r="I121" s="1" t="s">
        <v>6</v>
      </c>
      <c r="J121" s="1">
        <v>3</v>
      </c>
      <c r="K121" s="1" t="s">
        <v>7</v>
      </c>
      <c r="R121" t="str">
        <f t="shared" si="8"/>
        <v>Ack</v>
      </c>
    </row>
    <row r="122" spans="1:18" hidden="1" x14ac:dyDescent="0.25">
      <c r="A122" s="3">
        <f t="shared" si="9"/>
        <v>44761.542128993053</v>
      </c>
      <c r="B122" s="8" t="str">
        <f t="shared" si="10"/>
        <v>→</v>
      </c>
      <c r="C122" s="11">
        <f t="shared" si="11"/>
        <v>0.17100000000000001</v>
      </c>
      <c r="D122" s="2">
        <v>1658199639945</v>
      </c>
      <c r="E122" t="s">
        <v>0</v>
      </c>
      <c r="F122" s="1" t="s">
        <v>3</v>
      </c>
      <c r="G122" s="1">
        <v>21</v>
      </c>
      <c r="H122" s="1">
        <v>31</v>
      </c>
      <c r="I122" s="1" t="s">
        <v>3</v>
      </c>
      <c r="J122" s="1" t="s">
        <v>6</v>
      </c>
      <c r="K122" s="1">
        <v>12</v>
      </c>
      <c r="L122" s="1">
        <v>22</v>
      </c>
      <c r="M122" s="1">
        <v>1</v>
      </c>
      <c r="N122" s="1">
        <v>0</v>
      </c>
      <c r="O122" s="1">
        <v>0</v>
      </c>
      <c r="P122" s="1" t="s">
        <v>55</v>
      </c>
      <c r="Q122" s="1">
        <v>72</v>
      </c>
      <c r="R122" t="str">
        <f t="shared" si="8"/>
        <v>TEMPERATURE INFO Set:18 Actual:17 Countdown:0</v>
      </c>
    </row>
    <row r="123" spans="1:18" hidden="1" x14ac:dyDescent="0.25">
      <c r="A123" s="3">
        <f t="shared" si="9"/>
        <v>44761.542130034715</v>
      </c>
      <c r="B123" s="8" t="str">
        <f t="shared" si="10"/>
        <v>←</v>
      </c>
      <c r="C123" s="11">
        <f t="shared" si="11"/>
        <v>0.09</v>
      </c>
      <c r="D123" s="2">
        <v>1658199640035</v>
      </c>
      <c r="E123" t="s">
        <v>0</v>
      </c>
      <c r="F123" s="1">
        <v>5</v>
      </c>
      <c r="G123" s="1">
        <v>31</v>
      </c>
      <c r="H123" s="1">
        <v>21</v>
      </c>
      <c r="I123" s="1" t="s">
        <v>6</v>
      </c>
      <c r="J123" s="1">
        <v>3</v>
      </c>
      <c r="K123" s="1" t="s">
        <v>7</v>
      </c>
      <c r="R123" t="str">
        <f t="shared" si="8"/>
        <v>Ack</v>
      </c>
    </row>
    <row r="124" spans="1:18" x14ac:dyDescent="0.25">
      <c r="A124" s="3">
        <f t="shared" si="9"/>
        <v>44761.54213130787</v>
      </c>
      <c r="B124" s="8" t="str">
        <f t="shared" si="10"/>
        <v>→</v>
      </c>
      <c r="C124" s="11">
        <f t="shared" si="11"/>
        <v>0.11</v>
      </c>
      <c r="D124" s="2">
        <v>1658199640145</v>
      </c>
      <c r="E124" t="s">
        <v>0</v>
      </c>
      <c r="F124" s="1">
        <v>6</v>
      </c>
      <c r="G124" s="1">
        <v>21</v>
      </c>
      <c r="H124" s="1">
        <v>31</v>
      </c>
      <c r="I124" s="1">
        <v>29</v>
      </c>
      <c r="J124" s="1">
        <v>0</v>
      </c>
      <c r="K124" s="1" t="s">
        <v>13</v>
      </c>
      <c r="L124" s="1" t="s">
        <v>14</v>
      </c>
      <c r="R124" t="str">
        <f t="shared" si="8"/>
        <v>LONG PING FURNACE</v>
      </c>
    </row>
    <row r="125" spans="1:18" hidden="1" x14ac:dyDescent="0.25">
      <c r="A125" s="3">
        <f t="shared" si="9"/>
        <v>44761.542132581017</v>
      </c>
      <c r="B125" s="8" t="str">
        <f t="shared" si="10"/>
        <v>←</v>
      </c>
      <c r="C125" s="11">
        <f t="shared" si="11"/>
        <v>0.11</v>
      </c>
      <c r="D125" s="2">
        <v>1658199640255</v>
      </c>
      <c r="E125" t="s">
        <v>0</v>
      </c>
      <c r="F125" s="1">
        <v>5</v>
      </c>
      <c r="G125" s="1">
        <v>31</v>
      </c>
      <c r="H125" s="1">
        <v>21</v>
      </c>
      <c r="I125" s="1" t="s">
        <v>6</v>
      </c>
      <c r="J125" s="1">
        <v>3</v>
      </c>
      <c r="K125" s="1" t="s">
        <v>7</v>
      </c>
      <c r="R125" t="str">
        <f t="shared" si="8"/>
        <v>Ack</v>
      </c>
    </row>
    <row r="126" spans="1:18" hidden="1" x14ac:dyDescent="0.25">
      <c r="A126" s="3">
        <f t="shared" si="9"/>
        <v>44761.54213347222</v>
      </c>
      <c r="B126" s="8" t="str">
        <f t="shared" si="10"/>
        <v>→</v>
      </c>
      <c r="C126" s="11">
        <f t="shared" si="11"/>
        <v>7.6999999999999999E-2</v>
      </c>
      <c r="D126" s="2">
        <v>1658199640332</v>
      </c>
      <c r="E126" t="s">
        <v>0</v>
      </c>
      <c r="F126" s="1">
        <v>5</v>
      </c>
      <c r="G126" s="1">
        <v>21</v>
      </c>
      <c r="H126" s="1">
        <v>31</v>
      </c>
      <c r="I126" s="1">
        <v>6</v>
      </c>
      <c r="J126" s="1">
        <v>60</v>
      </c>
      <c r="K126" s="1">
        <v>83</v>
      </c>
      <c r="R126" t="str">
        <f t="shared" si="8"/>
        <v>FURNACE STATUS REQUEST</v>
      </c>
    </row>
    <row r="127" spans="1:18" hidden="1" x14ac:dyDescent="0.25">
      <c r="A127" s="3">
        <f t="shared" si="9"/>
        <v>44761.54213527777</v>
      </c>
      <c r="B127" s="8" t="str">
        <f t="shared" si="10"/>
        <v>←</v>
      </c>
      <c r="C127" s="11">
        <f t="shared" si="11"/>
        <v>0.156</v>
      </c>
      <c r="D127" s="2">
        <v>1658199640488</v>
      </c>
      <c r="E127" t="s">
        <v>0</v>
      </c>
      <c r="F127" s="1">
        <v>9</v>
      </c>
      <c r="G127" s="1">
        <v>31</v>
      </c>
      <c r="H127" s="1">
        <v>21</v>
      </c>
      <c r="I127" s="1" t="s">
        <v>1</v>
      </c>
      <c r="J127" s="1">
        <v>0</v>
      </c>
      <c r="K127" s="1">
        <v>27</v>
      </c>
      <c r="L127" s="1">
        <v>0</v>
      </c>
      <c r="M127" s="1">
        <v>0</v>
      </c>
      <c r="N127" s="1" t="s">
        <v>2</v>
      </c>
      <c r="O127" s="1">
        <v>20</v>
      </c>
      <c r="R127" t="str">
        <f t="shared" si="8"/>
        <v>FURNACE STATUS RESPONSE Fan:1 Ignition:1 Burner:1 Unknown:20</v>
      </c>
    </row>
    <row r="128" spans="1:18" hidden="1" x14ac:dyDescent="0.25">
      <c r="A128" s="3">
        <f t="shared" si="9"/>
        <v>44761.542818113427</v>
      </c>
      <c r="B128" s="8" t="str">
        <f t="shared" si="10"/>
        <v>→</v>
      </c>
      <c r="C128" s="11">
        <f t="shared" si="11"/>
        <v>58.997</v>
      </c>
      <c r="D128" s="2">
        <v>1658199699485</v>
      </c>
      <c r="E128" t="s">
        <v>0</v>
      </c>
      <c r="F128" s="1">
        <v>8</v>
      </c>
      <c r="G128" s="1">
        <v>21</v>
      </c>
      <c r="H128" s="1">
        <v>31</v>
      </c>
      <c r="I128" s="1">
        <v>7</v>
      </c>
      <c r="J128" s="1" t="s">
        <v>68</v>
      </c>
      <c r="K128" s="1">
        <v>38</v>
      </c>
      <c r="L128" s="1">
        <v>1</v>
      </c>
      <c r="M128" s="1">
        <v>4</v>
      </c>
      <c r="N128" s="1" t="s">
        <v>111</v>
      </c>
      <c r="R128" t="str">
        <f t="shared" si="8"/>
        <v>TIME 12:56 Tue</v>
      </c>
    </row>
    <row r="129" spans="1:18" hidden="1" x14ac:dyDescent="0.25">
      <c r="A129" s="3">
        <f t="shared" si="9"/>
        <v>44761.542819259259</v>
      </c>
      <c r="B129" s="8" t="str">
        <f t="shared" si="10"/>
        <v>←</v>
      </c>
      <c r="C129" s="11">
        <f t="shared" si="11"/>
        <v>9.9000000000000005E-2</v>
      </c>
      <c r="D129" s="2">
        <v>1658199699584</v>
      </c>
      <c r="E129" t="s">
        <v>0</v>
      </c>
      <c r="F129" s="1">
        <v>5</v>
      </c>
      <c r="G129" s="1">
        <v>31</v>
      </c>
      <c r="H129" s="1">
        <v>21</v>
      </c>
      <c r="I129" s="1" t="s">
        <v>6</v>
      </c>
      <c r="J129" s="1">
        <v>3</v>
      </c>
      <c r="K129" s="1" t="s">
        <v>7</v>
      </c>
      <c r="R129" t="str">
        <f t="shared" si="8"/>
        <v>Ack</v>
      </c>
    </row>
    <row r="130" spans="1:18" hidden="1" x14ac:dyDescent="0.25">
      <c r="A130" s="3">
        <f t="shared" si="9"/>
        <v>44761.542820613424</v>
      </c>
      <c r="B130" s="8" t="str">
        <f t="shared" si="10"/>
        <v>→</v>
      </c>
      <c r="C130" s="11">
        <f t="shared" si="11"/>
        <v>0.11700000000000001</v>
      </c>
      <c r="D130" s="2">
        <v>1658199699701</v>
      </c>
      <c r="E130" t="s">
        <v>0</v>
      </c>
      <c r="F130" s="1">
        <v>5</v>
      </c>
      <c r="G130" s="1">
        <v>21</v>
      </c>
      <c r="H130" s="1">
        <v>31</v>
      </c>
      <c r="I130" s="1">
        <v>9</v>
      </c>
      <c r="J130" s="1">
        <v>60</v>
      </c>
      <c r="K130" s="1" t="s">
        <v>11</v>
      </c>
      <c r="R130" t="str">
        <f t="shared" si="8"/>
        <v>PING FURNACE</v>
      </c>
    </row>
    <row r="131" spans="1:18" hidden="1" x14ac:dyDescent="0.25">
      <c r="A131" s="3">
        <f t="shared" si="9"/>
        <v>44761.542821886571</v>
      </c>
      <c r="B131" s="8" t="str">
        <f t="shared" si="10"/>
        <v>←</v>
      </c>
      <c r="C131" s="11">
        <f t="shared" si="11"/>
        <v>0.11</v>
      </c>
      <c r="D131" s="2">
        <v>1658199699811</v>
      </c>
      <c r="E131" t="s">
        <v>0</v>
      </c>
      <c r="F131" s="1">
        <v>5</v>
      </c>
      <c r="G131" s="1">
        <v>31</v>
      </c>
      <c r="H131" s="1">
        <v>21</v>
      </c>
      <c r="I131" s="1" t="s">
        <v>6</v>
      </c>
      <c r="J131" s="1">
        <v>3</v>
      </c>
      <c r="K131" s="1" t="s">
        <v>7</v>
      </c>
      <c r="R131" t="str">
        <f t="shared" ref="R131:R194" si="12">IF(E131="Ok",_xlfn.SWITCH(I131,5,"FURNACE STATUS REPORT Fan:"&amp;IF(_xlfn.BITAND(HEX2DEC(K131),1),"1","0")&amp;" Ignition:"&amp;IF(_xlfn.BITAND(HEX2DEC(K131),2),"1","0")&amp;" Burner:"&amp;IF(_xlfn.BITAND(HEX2DEC(K131),4),"1","0")&amp;" Unknown:"&amp;DEC2HEX(_xlfn.BITAND(HEX2DEC(K131),248)),6,"FURNACE STATUS REQUEST",7,"TIME "&amp;HEX2DEC(J131)&amp;":"&amp;HEX2DEC(K131)&amp;" "&amp;CHOOSE(L131+1,"Mon","Tue","Wed","Thu","Fri","Sat","Sun"),9,"PING FURNACE","0B","TEMPERATURE INFO Set:"&amp;HEX2DEC(K131)&amp;" Actual:"&amp;HEX2DEC(L131)/2&amp;" Countdown:"&amp;HEX2DEC(N131),29,"LONG PING FURNACE","FB","FURNACE STATUS RESPONSE Fan:"&amp;IF(_xlfn.BITAND(HEX2DEC(K131),1),"1","0")&amp;" Ignition:"&amp;IF(_xlfn.BITAND(HEX2DEC(K131),2),"1","0")&amp;" Burner:"&amp;IF(_xlfn.BITAND(HEX2DEC(K131),4),"1","0")&amp;" Unknown:"&amp;DEC2HEX(_xlfn.BITAND(HEX2DEC(K131),248)),"FF","Ack"),"")</f>
        <v>Ack</v>
      </c>
    </row>
    <row r="132" spans="1:18" hidden="1" x14ac:dyDescent="0.25">
      <c r="A132" s="3">
        <f t="shared" si="9"/>
        <v>44761.542823796299</v>
      </c>
      <c r="B132" s="8" t="str">
        <f t="shared" si="10"/>
        <v>→</v>
      </c>
      <c r="C132" s="11">
        <f t="shared" si="11"/>
        <v>0.16500000000000001</v>
      </c>
      <c r="D132" s="2">
        <v>1658199699976</v>
      </c>
      <c r="E132" t="s">
        <v>0</v>
      </c>
      <c r="F132" s="1" t="s">
        <v>3</v>
      </c>
      <c r="G132" s="1">
        <v>21</v>
      </c>
      <c r="H132" s="1">
        <v>31</v>
      </c>
      <c r="I132" s="1" t="s">
        <v>3</v>
      </c>
      <c r="J132" s="1" t="s">
        <v>6</v>
      </c>
      <c r="K132" s="1">
        <v>12</v>
      </c>
      <c r="L132" s="1">
        <v>22</v>
      </c>
      <c r="M132" s="1">
        <v>1</v>
      </c>
      <c r="N132" s="1">
        <v>0</v>
      </c>
      <c r="O132" s="1">
        <v>0</v>
      </c>
      <c r="P132" s="1" t="s">
        <v>55</v>
      </c>
      <c r="Q132" s="1">
        <v>72</v>
      </c>
      <c r="R132" t="str">
        <f t="shared" si="12"/>
        <v>TEMPERATURE INFO Set:18 Actual:17 Countdown:0</v>
      </c>
    </row>
    <row r="133" spans="1:18" hidden="1" x14ac:dyDescent="0.25">
      <c r="A133" s="3">
        <f t="shared" si="9"/>
        <v>44761.542825069446</v>
      </c>
      <c r="B133" s="8" t="str">
        <f t="shared" si="10"/>
        <v>←</v>
      </c>
      <c r="C133" s="11">
        <f t="shared" si="11"/>
        <v>0.11</v>
      </c>
      <c r="D133" s="2">
        <v>1658199700086</v>
      </c>
      <c r="E133" t="s">
        <v>0</v>
      </c>
      <c r="F133" s="1">
        <v>5</v>
      </c>
      <c r="G133" s="1">
        <v>31</v>
      </c>
      <c r="H133" s="1">
        <v>21</v>
      </c>
      <c r="I133" s="1" t="s">
        <v>6</v>
      </c>
      <c r="J133" s="1">
        <v>3</v>
      </c>
      <c r="K133" s="1" t="s">
        <v>7</v>
      </c>
      <c r="R133" t="str">
        <f t="shared" si="12"/>
        <v>Ack</v>
      </c>
    </row>
    <row r="134" spans="1:18" x14ac:dyDescent="0.25">
      <c r="A134" s="3">
        <f t="shared" si="9"/>
        <v>44761.542826145829</v>
      </c>
      <c r="B134" s="8" t="str">
        <f t="shared" si="10"/>
        <v>→</v>
      </c>
      <c r="C134" s="11">
        <f t="shared" si="11"/>
        <v>9.2999999999999999E-2</v>
      </c>
      <c r="D134" s="2">
        <v>1658199700179</v>
      </c>
      <c r="E134" t="s">
        <v>0</v>
      </c>
      <c r="F134" s="1">
        <v>6</v>
      </c>
      <c r="G134" s="1">
        <v>21</v>
      </c>
      <c r="H134" s="1">
        <v>31</v>
      </c>
      <c r="I134" s="1">
        <v>29</v>
      </c>
      <c r="J134" s="1">
        <v>0</v>
      </c>
      <c r="K134" s="1" t="s">
        <v>13</v>
      </c>
      <c r="L134" s="1" t="s">
        <v>14</v>
      </c>
      <c r="R134" t="str">
        <f t="shared" si="12"/>
        <v>LONG PING FURNACE</v>
      </c>
    </row>
    <row r="135" spans="1:18" hidden="1" x14ac:dyDescent="0.25">
      <c r="A135" s="3">
        <f t="shared" si="9"/>
        <v>44761.542827627309</v>
      </c>
      <c r="B135" s="8" t="str">
        <f t="shared" si="10"/>
        <v>←</v>
      </c>
      <c r="C135" s="11">
        <f t="shared" si="11"/>
        <v>0.128</v>
      </c>
      <c r="D135" s="2">
        <v>1658199700307</v>
      </c>
      <c r="E135" t="s">
        <v>0</v>
      </c>
      <c r="F135" s="1">
        <v>5</v>
      </c>
      <c r="G135" s="1">
        <v>31</v>
      </c>
      <c r="H135" s="1">
        <v>21</v>
      </c>
      <c r="I135" s="1" t="s">
        <v>6</v>
      </c>
      <c r="J135" s="1">
        <v>3</v>
      </c>
      <c r="K135" s="1" t="s">
        <v>7</v>
      </c>
      <c r="R135" t="str">
        <f t="shared" si="12"/>
        <v>Ack</v>
      </c>
    </row>
    <row r="136" spans="1:18" hidden="1" x14ac:dyDescent="0.25">
      <c r="A136" s="3">
        <f t="shared" si="9"/>
        <v>44761.542828587961</v>
      </c>
      <c r="B136" s="8" t="str">
        <f t="shared" si="10"/>
        <v>→</v>
      </c>
      <c r="C136" s="11">
        <f t="shared" si="11"/>
        <v>8.3000000000000004E-2</v>
      </c>
      <c r="D136" s="2">
        <v>1658199700390</v>
      </c>
      <c r="E136" t="s">
        <v>0</v>
      </c>
      <c r="F136" s="1">
        <v>5</v>
      </c>
      <c r="G136" s="1">
        <v>21</v>
      </c>
      <c r="H136" s="1">
        <v>31</v>
      </c>
      <c r="I136" s="1">
        <v>6</v>
      </c>
      <c r="J136" s="1">
        <v>60</v>
      </c>
      <c r="K136" s="1">
        <v>83</v>
      </c>
      <c r="R136" t="str">
        <f t="shared" si="12"/>
        <v>FURNACE STATUS REQUEST</v>
      </c>
    </row>
    <row r="137" spans="1:18" hidden="1" x14ac:dyDescent="0.25">
      <c r="A137" s="3">
        <f t="shared" si="9"/>
        <v>44761.542830601851</v>
      </c>
      <c r="B137" s="8" t="str">
        <f t="shared" si="10"/>
        <v>←</v>
      </c>
      <c r="C137" s="11">
        <f t="shared" si="11"/>
        <v>0.17399999999999999</v>
      </c>
      <c r="D137" s="2">
        <v>1658199700564</v>
      </c>
      <c r="E137" t="s">
        <v>0</v>
      </c>
      <c r="F137" s="1">
        <v>9</v>
      </c>
      <c r="G137" s="1">
        <v>31</v>
      </c>
      <c r="H137" s="1">
        <v>21</v>
      </c>
      <c r="I137" s="1" t="s">
        <v>1</v>
      </c>
      <c r="J137" s="1">
        <v>0</v>
      </c>
      <c r="K137" s="1">
        <v>27</v>
      </c>
      <c r="L137" s="1">
        <v>0</v>
      </c>
      <c r="M137" s="1">
        <v>0</v>
      </c>
      <c r="N137" s="1" t="s">
        <v>2</v>
      </c>
      <c r="O137" s="1">
        <v>20</v>
      </c>
      <c r="R137" t="str">
        <f t="shared" si="12"/>
        <v>FURNACE STATUS RESPONSE Fan:1 Ignition:1 Burner:1 Unknown:20</v>
      </c>
    </row>
    <row r="138" spans="1:18" hidden="1" x14ac:dyDescent="0.25">
      <c r="A138" s="3">
        <f t="shared" si="9"/>
        <v>44761.543516643513</v>
      </c>
      <c r="B138" s="8" t="str">
        <f t="shared" si="10"/>
        <v>→</v>
      </c>
      <c r="C138" s="11">
        <f t="shared" si="11"/>
        <v>59.274000000000001</v>
      </c>
      <c r="D138" s="2">
        <v>1658199759838</v>
      </c>
      <c r="E138" t="s">
        <v>0</v>
      </c>
      <c r="F138" s="1">
        <v>8</v>
      </c>
      <c r="G138" s="1">
        <v>21</v>
      </c>
      <c r="H138" s="1">
        <v>31</v>
      </c>
      <c r="I138" s="1">
        <v>7</v>
      </c>
      <c r="J138" s="1" t="s">
        <v>68</v>
      </c>
      <c r="K138" s="1">
        <v>39</v>
      </c>
      <c r="L138" s="1">
        <v>1</v>
      </c>
      <c r="M138" s="1">
        <v>82</v>
      </c>
      <c r="N138" s="1" t="s">
        <v>59</v>
      </c>
      <c r="R138" t="str">
        <f t="shared" si="12"/>
        <v>TIME 12:57 Tue</v>
      </c>
    </row>
    <row r="139" spans="1:18" hidden="1" x14ac:dyDescent="0.25">
      <c r="A139" s="3">
        <f t="shared" si="9"/>
        <v>44761.543516724538</v>
      </c>
      <c r="B139" s="8" t="str">
        <f t="shared" si="10"/>
        <v>←</v>
      </c>
      <c r="C139" s="11">
        <f t="shared" si="11"/>
        <v>7.0000000000000001E-3</v>
      </c>
      <c r="D139" s="2">
        <v>1658199759845</v>
      </c>
      <c r="E139" t="s">
        <v>0</v>
      </c>
      <c r="F139" s="1">
        <v>5</v>
      </c>
      <c r="G139" s="1">
        <v>31</v>
      </c>
      <c r="H139" s="1">
        <v>21</v>
      </c>
      <c r="I139" s="1" t="s">
        <v>6</v>
      </c>
      <c r="J139" s="1">
        <v>3</v>
      </c>
      <c r="K139" s="1" t="s">
        <v>7</v>
      </c>
      <c r="R139" t="str">
        <f t="shared" si="12"/>
        <v>Ack</v>
      </c>
    </row>
    <row r="140" spans="1:18" hidden="1" x14ac:dyDescent="0.25">
      <c r="A140" s="3">
        <f t="shared" si="9"/>
        <v>44761.543516817132</v>
      </c>
      <c r="B140" s="8" t="str">
        <f t="shared" si="10"/>
        <v>→</v>
      </c>
      <c r="C140" s="11">
        <f t="shared" si="11"/>
        <v>8.0000000000000002E-3</v>
      </c>
      <c r="D140" s="2">
        <v>1658199759853</v>
      </c>
      <c r="E140" t="s">
        <v>0</v>
      </c>
      <c r="F140" s="1">
        <v>5</v>
      </c>
      <c r="G140" s="1">
        <v>21</v>
      </c>
      <c r="H140" s="1">
        <v>31</v>
      </c>
      <c r="I140" s="1">
        <v>9</v>
      </c>
      <c r="J140" s="1">
        <v>60</v>
      </c>
      <c r="K140" s="1" t="s">
        <v>11</v>
      </c>
      <c r="R140" t="str">
        <f t="shared" si="12"/>
        <v>PING FURNACE</v>
      </c>
    </row>
    <row r="141" spans="1:18" hidden="1" x14ac:dyDescent="0.25">
      <c r="A141" s="3">
        <f t="shared" si="9"/>
        <v>44761.543516886573</v>
      </c>
      <c r="B141" s="8" t="str">
        <f t="shared" si="10"/>
        <v>←</v>
      </c>
      <c r="C141" s="11">
        <f t="shared" si="11"/>
        <v>6.0000000000000001E-3</v>
      </c>
      <c r="D141" s="2">
        <v>1658199759859</v>
      </c>
      <c r="E141" t="s">
        <v>0</v>
      </c>
      <c r="F141" s="1">
        <v>5</v>
      </c>
      <c r="G141" s="1">
        <v>31</v>
      </c>
      <c r="H141" s="1">
        <v>21</v>
      </c>
      <c r="I141" s="1" t="s">
        <v>6</v>
      </c>
      <c r="J141" s="1">
        <v>3</v>
      </c>
      <c r="K141" s="1" t="s">
        <v>7</v>
      </c>
      <c r="R141" t="str">
        <f t="shared" si="12"/>
        <v>Ack</v>
      </c>
    </row>
    <row r="142" spans="1:18" hidden="1" x14ac:dyDescent="0.25">
      <c r="A142" s="3">
        <f t="shared" si="9"/>
        <v>44761.543517962964</v>
      </c>
      <c r="B142" s="8" t="str">
        <f t="shared" si="10"/>
        <v>→</v>
      </c>
      <c r="C142" s="11">
        <f t="shared" si="11"/>
        <v>9.2999999999999999E-2</v>
      </c>
      <c r="D142" s="2">
        <v>1658199759952</v>
      </c>
      <c r="E142" t="s">
        <v>0</v>
      </c>
      <c r="F142" s="1" t="s">
        <v>3</v>
      </c>
      <c r="G142" s="1">
        <v>21</v>
      </c>
      <c r="H142" s="1">
        <v>31</v>
      </c>
      <c r="I142" s="1" t="s">
        <v>3</v>
      </c>
      <c r="J142" s="1" t="s">
        <v>6</v>
      </c>
      <c r="K142" s="1">
        <v>12</v>
      </c>
      <c r="L142" s="1">
        <v>22</v>
      </c>
      <c r="M142" s="1">
        <v>1</v>
      </c>
      <c r="N142" s="1">
        <v>0</v>
      </c>
      <c r="O142" s="1">
        <v>0</v>
      </c>
      <c r="P142" s="1" t="s">
        <v>55</v>
      </c>
      <c r="Q142" s="1">
        <v>72</v>
      </c>
      <c r="R142" t="str">
        <f t="shared" si="12"/>
        <v>TEMPERATURE INFO Set:18 Actual:17 Countdown:0</v>
      </c>
    </row>
    <row r="143" spans="1:18" hidden="1" x14ac:dyDescent="0.25">
      <c r="A143" s="3">
        <f t="shared" si="9"/>
        <v>44761.543519421299</v>
      </c>
      <c r="B143" s="8" t="str">
        <f t="shared" si="10"/>
        <v>←</v>
      </c>
      <c r="C143" s="11">
        <f t="shared" si="11"/>
        <v>0.126</v>
      </c>
      <c r="D143" s="2">
        <v>1658199760078</v>
      </c>
      <c r="E143" t="s">
        <v>0</v>
      </c>
      <c r="F143" s="1">
        <v>5</v>
      </c>
      <c r="G143" s="1">
        <v>31</v>
      </c>
      <c r="H143" s="1">
        <v>21</v>
      </c>
      <c r="I143" s="1" t="s">
        <v>6</v>
      </c>
      <c r="J143" s="1">
        <v>3</v>
      </c>
      <c r="K143" s="1" t="s">
        <v>7</v>
      </c>
      <c r="R143" t="str">
        <f t="shared" si="12"/>
        <v>Ack</v>
      </c>
    </row>
    <row r="144" spans="1:18" x14ac:dyDescent="0.25">
      <c r="A144" s="3">
        <f t="shared" si="9"/>
        <v>44761.54352082176</v>
      </c>
      <c r="B144" s="8" t="str">
        <f t="shared" si="10"/>
        <v>→</v>
      </c>
      <c r="C144" s="11">
        <f t="shared" si="11"/>
        <v>0.121</v>
      </c>
      <c r="D144" s="2">
        <v>1658199760199</v>
      </c>
      <c r="E144" t="s">
        <v>0</v>
      </c>
      <c r="F144" s="1">
        <v>6</v>
      </c>
      <c r="G144" s="1">
        <v>21</v>
      </c>
      <c r="H144" s="1">
        <v>31</v>
      </c>
      <c r="I144" s="1">
        <v>29</v>
      </c>
      <c r="J144" s="1">
        <v>0</v>
      </c>
      <c r="K144" s="1" t="s">
        <v>13</v>
      </c>
      <c r="L144" s="1" t="s">
        <v>14</v>
      </c>
      <c r="R144" t="str">
        <f t="shared" si="12"/>
        <v>LONG PING FURNACE</v>
      </c>
    </row>
    <row r="145" spans="1:18" hidden="1" x14ac:dyDescent="0.25">
      <c r="A145" s="3">
        <f t="shared" si="9"/>
        <v>44761.543521921289</v>
      </c>
      <c r="B145" s="8" t="str">
        <f t="shared" si="10"/>
        <v>←</v>
      </c>
      <c r="C145" s="11">
        <f t="shared" si="11"/>
        <v>9.5000000000000001E-2</v>
      </c>
      <c r="D145" s="2">
        <v>1658199760294</v>
      </c>
      <c r="E145" t="s">
        <v>0</v>
      </c>
      <c r="F145" s="1">
        <v>5</v>
      </c>
      <c r="G145" s="1">
        <v>31</v>
      </c>
      <c r="H145" s="1">
        <v>21</v>
      </c>
      <c r="I145" s="1" t="s">
        <v>6</v>
      </c>
      <c r="J145" s="1">
        <v>3</v>
      </c>
      <c r="K145" s="1" t="s">
        <v>7</v>
      </c>
      <c r="R145" t="str">
        <f t="shared" si="12"/>
        <v>Ack</v>
      </c>
    </row>
    <row r="146" spans="1:18" hidden="1" x14ac:dyDescent="0.25">
      <c r="A146" s="3">
        <f t="shared" si="9"/>
        <v>44761.543522835644</v>
      </c>
      <c r="B146" s="8" t="str">
        <f t="shared" si="10"/>
        <v>→</v>
      </c>
      <c r="C146" s="11">
        <f t="shared" si="11"/>
        <v>7.9000000000000001E-2</v>
      </c>
      <c r="D146" s="2">
        <v>1658199760373</v>
      </c>
      <c r="E146" t="s">
        <v>0</v>
      </c>
      <c r="F146" s="1">
        <v>5</v>
      </c>
      <c r="G146" s="1">
        <v>21</v>
      </c>
      <c r="H146" s="1">
        <v>31</v>
      </c>
      <c r="I146" s="1">
        <v>6</v>
      </c>
      <c r="J146" s="1">
        <v>60</v>
      </c>
      <c r="K146" s="1">
        <v>83</v>
      </c>
      <c r="R146" t="str">
        <f t="shared" si="12"/>
        <v>FURNACE STATUS REQUEST</v>
      </c>
    </row>
    <row r="147" spans="1:18" hidden="1" x14ac:dyDescent="0.25">
      <c r="A147" s="3">
        <f t="shared" si="9"/>
        <v>44761.543524606481</v>
      </c>
      <c r="B147" s="8" t="str">
        <f t="shared" si="10"/>
        <v>←</v>
      </c>
      <c r="C147" s="11">
        <f t="shared" si="11"/>
        <v>0.153</v>
      </c>
      <c r="D147" s="2">
        <v>1658199760526</v>
      </c>
      <c r="E147" t="s">
        <v>0</v>
      </c>
      <c r="F147" s="1">
        <v>9</v>
      </c>
      <c r="G147" s="1">
        <v>31</v>
      </c>
      <c r="H147" s="1">
        <v>21</v>
      </c>
      <c r="I147" s="1" t="s">
        <v>1</v>
      </c>
      <c r="J147" s="1">
        <v>0</v>
      </c>
      <c r="K147" s="1">
        <v>27</v>
      </c>
      <c r="L147" s="1">
        <v>0</v>
      </c>
      <c r="M147" s="1">
        <v>0</v>
      </c>
      <c r="N147" s="1" t="s">
        <v>2</v>
      </c>
      <c r="O147" s="1">
        <v>20</v>
      </c>
      <c r="R147" t="str">
        <f t="shared" si="12"/>
        <v>FURNACE STATUS RESPONSE Fan:1 Ignition:1 Burner:1 Unknown:20</v>
      </c>
    </row>
    <row r="148" spans="1:18" hidden="1" x14ac:dyDescent="0.25">
      <c r="A148" s="3">
        <f t="shared" si="9"/>
        <v>44761.544206782404</v>
      </c>
      <c r="B148" s="8" t="str">
        <f t="shared" si="10"/>
        <v>→</v>
      </c>
      <c r="C148" s="11">
        <f t="shared" si="11"/>
        <v>58.94</v>
      </c>
      <c r="D148" s="2">
        <v>1658199819466</v>
      </c>
      <c r="E148" t="s">
        <v>0</v>
      </c>
      <c r="F148" s="1">
        <v>8</v>
      </c>
      <c r="G148" s="1">
        <v>21</v>
      </c>
      <c r="H148" s="1">
        <v>31</v>
      </c>
      <c r="I148" s="1">
        <v>7</v>
      </c>
      <c r="J148" s="1" t="s">
        <v>68</v>
      </c>
      <c r="K148" s="1" t="s">
        <v>61</v>
      </c>
      <c r="L148" s="1">
        <v>1</v>
      </c>
      <c r="M148" s="1">
        <v>88</v>
      </c>
      <c r="N148" s="1" t="s">
        <v>59</v>
      </c>
      <c r="R148" t="str">
        <f t="shared" si="12"/>
        <v>TIME 12:58 Tue</v>
      </c>
    </row>
    <row r="149" spans="1:18" hidden="1" x14ac:dyDescent="0.25">
      <c r="A149" s="3">
        <f t="shared" si="9"/>
        <v>44761.544208194442</v>
      </c>
      <c r="B149" s="8" t="str">
        <f t="shared" si="10"/>
        <v>←</v>
      </c>
      <c r="C149" s="11">
        <f t="shared" si="11"/>
        <v>0.122</v>
      </c>
      <c r="D149" s="2">
        <v>1658199819588</v>
      </c>
      <c r="E149" t="s">
        <v>0</v>
      </c>
      <c r="F149" s="1">
        <v>5</v>
      </c>
      <c r="G149" s="1">
        <v>31</v>
      </c>
      <c r="H149" s="1">
        <v>21</v>
      </c>
      <c r="I149" s="1" t="s">
        <v>6</v>
      </c>
      <c r="J149" s="1">
        <v>3</v>
      </c>
      <c r="K149" s="1" t="s">
        <v>7</v>
      </c>
      <c r="R149" t="str">
        <f t="shared" si="12"/>
        <v>Ack</v>
      </c>
    </row>
    <row r="150" spans="1:18" hidden="1" x14ac:dyDescent="0.25">
      <c r="A150" s="3">
        <f t="shared" si="9"/>
        <v>44761.544209328706</v>
      </c>
      <c r="B150" s="8" t="str">
        <f t="shared" si="10"/>
        <v>→</v>
      </c>
      <c r="C150" s="11">
        <f t="shared" si="11"/>
        <v>9.8000000000000004E-2</v>
      </c>
      <c r="D150" s="2">
        <v>1658199819686</v>
      </c>
      <c r="E150" t="s">
        <v>0</v>
      </c>
      <c r="F150" s="1">
        <v>5</v>
      </c>
      <c r="G150" s="1">
        <v>21</v>
      </c>
      <c r="H150" s="1">
        <v>31</v>
      </c>
      <c r="I150" s="1">
        <v>9</v>
      </c>
      <c r="J150" s="1">
        <v>60</v>
      </c>
      <c r="K150" s="1" t="s">
        <v>11</v>
      </c>
      <c r="R150" t="str">
        <f t="shared" si="12"/>
        <v>PING FURNACE</v>
      </c>
    </row>
    <row r="151" spans="1:18" hidden="1" x14ac:dyDescent="0.25">
      <c r="A151" s="3">
        <f t="shared" si="9"/>
        <v>44761.544210787033</v>
      </c>
      <c r="B151" s="8" t="str">
        <f t="shared" si="10"/>
        <v>←</v>
      </c>
      <c r="C151" s="11">
        <f t="shared" si="11"/>
        <v>0.126</v>
      </c>
      <c r="D151" s="2">
        <v>1658199819812</v>
      </c>
      <c r="E151" t="s">
        <v>0</v>
      </c>
      <c r="F151" s="1">
        <v>5</v>
      </c>
      <c r="G151" s="1">
        <v>31</v>
      </c>
      <c r="H151" s="1">
        <v>21</v>
      </c>
      <c r="I151" s="1" t="s">
        <v>6</v>
      </c>
      <c r="J151" s="1">
        <v>3</v>
      </c>
      <c r="K151" s="1" t="s">
        <v>7</v>
      </c>
      <c r="R151" t="str">
        <f t="shared" si="12"/>
        <v>Ack</v>
      </c>
    </row>
    <row r="152" spans="1:18" hidden="1" x14ac:dyDescent="0.25">
      <c r="A152" s="3">
        <f t="shared" si="9"/>
        <v>44761.544212523142</v>
      </c>
      <c r="B152" s="8" t="str">
        <f t="shared" si="10"/>
        <v>→</v>
      </c>
      <c r="C152" s="11">
        <f t="shared" si="11"/>
        <v>0.15</v>
      </c>
      <c r="D152" s="2">
        <v>1658199819962</v>
      </c>
      <c r="E152" t="s">
        <v>0</v>
      </c>
      <c r="F152" s="1" t="s">
        <v>3</v>
      </c>
      <c r="G152" s="1">
        <v>21</v>
      </c>
      <c r="H152" s="1">
        <v>31</v>
      </c>
      <c r="I152" s="1" t="s">
        <v>3</v>
      </c>
      <c r="J152" s="1" t="s">
        <v>6</v>
      </c>
      <c r="K152" s="1">
        <v>12</v>
      </c>
      <c r="L152" s="1">
        <v>22</v>
      </c>
      <c r="M152" s="1">
        <v>1</v>
      </c>
      <c r="N152" s="1">
        <v>0</v>
      </c>
      <c r="O152" s="1">
        <v>0</v>
      </c>
      <c r="P152" s="1" t="s">
        <v>55</v>
      </c>
      <c r="Q152" s="1">
        <v>72</v>
      </c>
      <c r="R152" t="str">
        <f t="shared" si="12"/>
        <v>TEMPERATURE INFO Set:18 Actual:17 Countdown:0</v>
      </c>
    </row>
    <row r="153" spans="1:18" hidden="1" x14ac:dyDescent="0.25">
      <c r="A153" s="3">
        <f t="shared" si="9"/>
        <v>44761.544213958332</v>
      </c>
      <c r="B153" s="8" t="str">
        <f t="shared" si="10"/>
        <v>←</v>
      </c>
      <c r="C153" s="11">
        <f t="shared" si="11"/>
        <v>0.124</v>
      </c>
      <c r="D153" s="2">
        <v>1658199820086</v>
      </c>
      <c r="E153" t="s">
        <v>0</v>
      </c>
      <c r="F153" s="1">
        <v>5</v>
      </c>
      <c r="G153" s="1">
        <v>31</v>
      </c>
      <c r="H153" s="1">
        <v>21</v>
      </c>
      <c r="I153" s="1" t="s">
        <v>6</v>
      </c>
      <c r="J153" s="1">
        <v>3</v>
      </c>
      <c r="K153" s="1" t="s">
        <v>7</v>
      </c>
      <c r="R153" t="str">
        <f t="shared" si="12"/>
        <v>Ack</v>
      </c>
    </row>
    <row r="154" spans="1:18" x14ac:dyDescent="0.25">
      <c r="A154" s="3">
        <f t="shared" si="9"/>
        <v>44761.544215416659</v>
      </c>
      <c r="B154" s="8" t="str">
        <f t="shared" si="10"/>
        <v>→</v>
      </c>
      <c r="C154" s="11">
        <f t="shared" si="11"/>
        <v>0.126</v>
      </c>
      <c r="D154" s="2">
        <v>1658199820212</v>
      </c>
      <c r="E154" t="s">
        <v>0</v>
      </c>
      <c r="F154" s="1">
        <v>6</v>
      </c>
      <c r="G154" s="1">
        <v>21</v>
      </c>
      <c r="H154" s="1">
        <v>31</v>
      </c>
      <c r="I154" s="1">
        <v>29</v>
      </c>
      <c r="J154" s="1">
        <v>0</v>
      </c>
      <c r="K154" s="1" t="s">
        <v>13</v>
      </c>
      <c r="L154" s="1" t="s">
        <v>14</v>
      </c>
      <c r="R154" t="str">
        <f t="shared" si="12"/>
        <v>LONG PING FURNACE</v>
      </c>
    </row>
    <row r="155" spans="1:18" hidden="1" x14ac:dyDescent="0.25">
      <c r="A155" s="3">
        <f t="shared" si="9"/>
        <v>44761.544216851849</v>
      </c>
      <c r="B155" s="8" t="str">
        <f t="shared" si="10"/>
        <v>←</v>
      </c>
      <c r="C155" s="11">
        <f t="shared" si="11"/>
        <v>0.124</v>
      </c>
      <c r="D155" s="2">
        <v>1658199820336</v>
      </c>
      <c r="E155" t="s">
        <v>0</v>
      </c>
      <c r="F155" s="1">
        <v>5</v>
      </c>
      <c r="G155" s="1">
        <v>31</v>
      </c>
      <c r="H155" s="1">
        <v>21</v>
      </c>
      <c r="I155" s="1" t="s">
        <v>6</v>
      </c>
      <c r="J155" s="1">
        <v>3</v>
      </c>
      <c r="K155" s="1" t="s">
        <v>7</v>
      </c>
      <c r="R155" t="str">
        <f t="shared" si="12"/>
        <v>Ack</v>
      </c>
    </row>
    <row r="156" spans="1:18" hidden="1" x14ac:dyDescent="0.25">
      <c r="A156" s="3">
        <f t="shared" si="9"/>
        <v>44761.544217870367</v>
      </c>
      <c r="B156" s="8" t="str">
        <f t="shared" si="10"/>
        <v>→</v>
      </c>
      <c r="C156" s="11">
        <f t="shared" si="11"/>
        <v>8.7999999999999995E-2</v>
      </c>
      <c r="D156" s="2">
        <v>1658199820424</v>
      </c>
      <c r="E156" t="s">
        <v>0</v>
      </c>
      <c r="F156" s="1">
        <v>5</v>
      </c>
      <c r="G156" s="1">
        <v>21</v>
      </c>
      <c r="H156" s="1">
        <v>31</v>
      </c>
      <c r="I156" s="1">
        <v>6</v>
      </c>
      <c r="J156" s="1">
        <v>60</v>
      </c>
      <c r="K156" s="1">
        <v>83</v>
      </c>
      <c r="R156" t="str">
        <f t="shared" si="12"/>
        <v>FURNACE STATUS REQUEST</v>
      </c>
    </row>
    <row r="157" spans="1:18" hidden="1" x14ac:dyDescent="0.25">
      <c r="A157" s="3">
        <f t="shared" si="9"/>
        <v>44761.544219884257</v>
      </c>
      <c r="B157" s="8" t="str">
        <f t="shared" si="10"/>
        <v>←</v>
      </c>
      <c r="C157" s="11">
        <f t="shared" si="11"/>
        <v>0.17399999999999999</v>
      </c>
      <c r="D157" s="2">
        <v>1658199820598</v>
      </c>
      <c r="E157" t="s">
        <v>0</v>
      </c>
      <c r="F157" s="1">
        <v>9</v>
      </c>
      <c r="G157" s="1">
        <v>31</v>
      </c>
      <c r="H157" s="1">
        <v>21</v>
      </c>
      <c r="I157" s="1" t="s">
        <v>1</v>
      </c>
      <c r="J157" s="1">
        <v>0</v>
      </c>
      <c r="K157" s="1">
        <v>27</v>
      </c>
      <c r="L157" s="1">
        <v>0</v>
      </c>
      <c r="M157" s="1">
        <v>0</v>
      </c>
      <c r="N157" s="1" t="s">
        <v>2</v>
      </c>
      <c r="O157" s="1">
        <v>20</v>
      </c>
      <c r="R157" t="str">
        <f t="shared" si="12"/>
        <v>FURNACE STATUS RESPONSE Fan:1 Ignition:1 Burner:1 Unknown:20</v>
      </c>
    </row>
    <row r="158" spans="1:18" hidden="1" x14ac:dyDescent="0.25">
      <c r="A158" s="3">
        <f t="shared" si="9"/>
        <v>44761.544901400463</v>
      </c>
      <c r="B158" s="8" t="str">
        <f t="shared" si="10"/>
        <v>→</v>
      </c>
      <c r="C158" s="11">
        <f t="shared" si="11"/>
        <v>58.883000000000003</v>
      </c>
      <c r="D158" s="2">
        <v>1658199879481</v>
      </c>
      <c r="E158" t="s">
        <v>0</v>
      </c>
      <c r="F158" s="1">
        <v>8</v>
      </c>
      <c r="G158" s="1">
        <v>21</v>
      </c>
      <c r="H158" s="1">
        <v>31</v>
      </c>
      <c r="I158" s="1">
        <v>7</v>
      </c>
      <c r="J158" s="1" t="s">
        <v>68</v>
      </c>
      <c r="K158" s="1" t="s">
        <v>62</v>
      </c>
      <c r="L158" s="1">
        <v>1</v>
      </c>
      <c r="M158" s="1" t="s">
        <v>72</v>
      </c>
      <c r="N158" s="1" t="s">
        <v>111</v>
      </c>
      <c r="R158" t="str">
        <f t="shared" si="12"/>
        <v>TIME 12:59 Tue</v>
      </c>
    </row>
    <row r="159" spans="1:18" hidden="1" x14ac:dyDescent="0.25">
      <c r="A159" s="3">
        <f t="shared" si="9"/>
        <v>44761.544902719907</v>
      </c>
      <c r="B159" s="8" t="str">
        <f t="shared" si="10"/>
        <v>←</v>
      </c>
      <c r="C159" s="11">
        <f t="shared" si="11"/>
        <v>0.114</v>
      </c>
      <c r="D159" s="2">
        <v>1658199879595</v>
      </c>
      <c r="E159" t="s">
        <v>0</v>
      </c>
      <c r="F159" s="1">
        <v>5</v>
      </c>
      <c r="G159" s="1">
        <v>31</v>
      </c>
      <c r="H159" s="1">
        <v>21</v>
      </c>
      <c r="I159" s="1" t="s">
        <v>6</v>
      </c>
      <c r="J159" s="1">
        <v>3</v>
      </c>
      <c r="K159" s="1" t="s">
        <v>7</v>
      </c>
      <c r="R159" t="str">
        <f t="shared" si="12"/>
        <v>Ack</v>
      </c>
    </row>
    <row r="160" spans="1:18" hidden="1" x14ac:dyDescent="0.25">
      <c r="A160" s="3">
        <f t="shared" si="9"/>
        <v>44761.544903888884</v>
      </c>
      <c r="B160" s="8" t="str">
        <f t="shared" si="10"/>
        <v>→</v>
      </c>
      <c r="C160" s="11">
        <f t="shared" si="11"/>
        <v>0.10100000000000001</v>
      </c>
      <c r="D160" s="2">
        <v>1658199879696</v>
      </c>
      <c r="E160" t="s">
        <v>0</v>
      </c>
      <c r="F160" s="1">
        <v>5</v>
      </c>
      <c r="G160" s="1">
        <v>21</v>
      </c>
      <c r="H160" s="1">
        <v>31</v>
      </c>
      <c r="I160" s="1">
        <v>9</v>
      </c>
      <c r="J160" s="1">
        <v>60</v>
      </c>
      <c r="K160" s="1" t="s">
        <v>11</v>
      </c>
      <c r="R160" t="str">
        <f t="shared" si="12"/>
        <v>PING FURNACE</v>
      </c>
    </row>
    <row r="161" spans="1:18" hidden="1" x14ac:dyDescent="0.25">
      <c r="A161" s="3">
        <f t="shared" si="9"/>
        <v>44761.54490508102</v>
      </c>
      <c r="B161" s="8" t="str">
        <f t="shared" si="10"/>
        <v>←</v>
      </c>
      <c r="C161" s="11">
        <f t="shared" si="11"/>
        <v>0.10299999999999999</v>
      </c>
      <c r="D161" s="2">
        <v>1658199879799</v>
      </c>
      <c r="E161" t="s">
        <v>0</v>
      </c>
      <c r="F161" s="1">
        <v>5</v>
      </c>
      <c r="G161" s="1">
        <v>31</v>
      </c>
      <c r="H161" s="1">
        <v>21</v>
      </c>
      <c r="I161" s="1" t="s">
        <v>6</v>
      </c>
      <c r="J161" s="1">
        <v>3</v>
      </c>
      <c r="K161" s="1" t="s">
        <v>7</v>
      </c>
      <c r="R161" t="str">
        <f t="shared" si="12"/>
        <v>Ack</v>
      </c>
    </row>
    <row r="162" spans="1:18" hidden="1" x14ac:dyDescent="0.25">
      <c r="A162" s="3">
        <f t="shared" ref="A162:A225" si="13">D162/(1000*60*60*24)+25569+10/24</f>
        <v>44761.544907025462</v>
      </c>
      <c r="B162" s="8" t="str">
        <f t="shared" ref="B162:B225" si="14">IF(AND(G162=21,H162=31),"→",IF(AND(G162=31,H162=21),"←","Error"))</f>
        <v>→</v>
      </c>
      <c r="C162" s="11">
        <f t="shared" ref="C162:C225" si="15">(D162-D161)/1000</f>
        <v>0.16800000000000001</v>
      </c>
      <c r="D162" s="2">
        <v>1658199879967</v>
      </c>
      <c r="E162" t="s">
        <v>0</v>
      </c>
      <c r="F162" s="1" t="s">
        <v>3</v>
      </c>
      <c r="G162" s="1">
        <v>21</v>
      </c>
      <c r="H162" s="1">
        <v>31</v>
      </c>
      <c r="I162" s="1" t="s">
        <v>3</v>
      </c>
      <c r="J162" s="1" t="s">
        <v>6</v>
      </c>
      <c r="K162" s="1">
        <v>12</v>
      </c>
      <c r="L162" s="1">
        <v>23</v>
      </c>
      <c r="M162" s="1">
        <v>1</v>
      </c>
      <c r="N162" s="1">
        <v>0</v>
      </c>
      <c r="O162" s="1">
        <v>0</v>
      </c>
      <c r="P162" s="1">
        <v>62</v>
      </c>
      <c r="Q162" s="1">
        <v>71</v>
      </c>
      <c r="R162" t="str">
        <f t="shared" si="12"/>
        <v>TEMPERATURE INFO Set:18 Actual:17.5 Countdown:0</v>
      </c>
    </row>
    <row r="163" spans="1:18" hidden="1" x14ac:dyDescent="0.25">
      <c r="A163" s="3">
        <f t="shared" si="13"/>
        <v>44761.54490828704</v>
      </c>
      <c r="B163" s="8" t="str">
        <f t="shared" si="14"/>
        <v>←</v>
      </c>
      <c r="C163" s="11">
        <f t="shared" si="15"/>
        <v>0.109</v>
      </c>
      <c r="D163" s="2">
        <v>1658199880076</v>
      </c>
      <c r="E163" t="s">
        <v>0</v>
      </c>
      <c r="F163" s="1">
        <v>5</v>
      </c>
      <c r="G163" s="1">
        <v>31</v>
      </c>
      <c r="H163" s="1">
        <v>21</v>
      </c>
      <c r="I163" s="1" t="s">
        <v>6</v>
      </c>
      <c r="J163" s="1">
        <v>3</v>
      </c>
      <c r="K163" s="1" t="s">
        <v>7</v>
      </c>
      <c r="R163" t="str">
        <f t="shared" si="12"/>
        <v>Ack</v>
      </c>
    </row>
    <row r="164" spans="1:18" x14ac:dyDescent="0.25">
      <c r="A164" s="3">
        <f t="shared" si="13"/>
        <v>44761.544909652774</v>
      </c>
      <c r="B164" s="8" t="str">
        <f t="shared" si="14"/>
        <v>→</v>
      </c>
      <c r="C164" s="11">
        <f t="shared" si="15"/>
        <v>0.11799999999999999</v>
      </c>
      <c r="D164" s="2">
        <v>1658199880194</v>
      </c>
      <c r="E164" t="s">
        <v>0</v>
      </c>
      <c r="F164" s="1">
        <v>6</v>
      </c>
      <c r="G164" s="1">
        <v>21</v>
      </c>
      <c r="H164" s="1">
        <v>31</v>
      </c>
      <c r="I164" s="1">
        <v>29</v>
      </c>
      <c r="J164" s="1">
        <v>0</v>
      </c>
      <c r="K164" s="1" t="s">
        <v>13</v>
      </c>
      <c r="L164" s="1" t="s">
        <v>14</v>
      </c>
      <c r="R164" t="str">
        <f t="shared" si="12"/>
        <v>LONG PING FURNACE</v>
      </c>
    </row>
    <row r="165" spans="1:18" hidden="1" x14ac:dyDescent="0.25">
      <c r="A165" s="3">
        <f t="shared" si="13"/>
        <v>44761.544910856479</v>
      </c>
      <c r="B165" s="8" t="str">
        <f t="shared" si="14"/>
        <v>←</v>
      </c>
      <c r="C165" s="11">
        <f t="shared" si="15"/>
        <v>0.104</v>
      </c>
      <c r="D165" s="2">
        <v>1658199880298</v>
      </c>
      <c r="E165" t="s">
        <v>0</v>
      </c>
      <c r="F165" s="1">
        <v>5</v>
      </c>
      <c r="G165" s="1">
        <v>31</v>
      </c>
      <c r="H165" s="1">
        <v>21</v>
      </c>
      <c r="I165" s="1" t="s">
        <v>6</v>
      </c>
      <c r="J165" s="1">
        <v>3</v>
      </c>
      <c r="K165" s="1" t="s">
        <v>7</v>
      </c>
      <c r="R165" t="str">
        <f t="shared" si="12"/>
        <v>Ack</v>
      </c>
    </row>
    <row r="166" spans="1:18" hidden="1" x14ac:dyDescent="0.25">
      <c r="A166" s="3">
        <f t="shared" si="13"/>
        <v>44761.544911805555</v>
      </c>
      <c r="B166" s="8" t="str">
        <f t="shared" si="14"/>
        <v>→</v>
      </c>
      <c r="C166" s="11">
        <f t="shared" si="15"/>
        <v>8.2000000000000003E-2</v>
      </c>
      <c r="D166" s="2">
        <v>1658199880380</v>
      </c>
      <c r="E166" t="s">
        <v>0</v>
      </c>
      <c r="F166" s="1">
        <v>5</v>
      </c>
      <c r="G166" s="1">
        <v>21</v>
      </c>
      <c r="H166" s="1">
        <v>31</v>
      </c>
      <c r="I166" s="1">
        <v>6</v>
      </c>
      <c r="J166" s="1">
        <v>60</v>
      </c>
      <c r="K166" s="1">
        <v>83</v>
      </c>
      <c r="R166" t="str">
        <f t="shared" si="12"/>
        <v>FURNACE STATUS REQUEST</v>
      </c>
    </row>
    <row r="167" spans="1:18" hidden="1" x14ac:dyDescent="0.25">
      <c r="A167" s="3">
        <f t="shared" si="13"/>
        <v>44761.544913680555</v>
      </c>
      <c r="B167" s="8" t="str">
        <f t="shared" si="14"/>
        <v>←</v>
      </c>
      <c r="C167" s="11">
        <f t="shared" si="15"/>
        <v>0.16200000000000001</v>
      </c>
      <c r="D167" s="2">
        <v>1658199880542</v>
      </c>
      <c r="E167" t="s">
        <v>0</v>
      </c>
      <c r="F167" s="1">
        <v>9</v>
      </c>
      <c r="G167" s="1">
        <v>31</v>
      </c>
      <c r="H167" s="1">
        <v>21</v>
      </c>
      <c r="I167" s="1" t="s">
        <v>1</v>
      </c>
      <c r="J167" s="1">
        <v>0</v>
      </c>
      <c r="K167" s="1">
        <v>27</v>
      </c>
      <c r="L167" s="1">
        <v>0</v>
      </c>
      <c r="M167" s="1">
        <v>0</v>
      </c>
      <c r="N167" s="1" t="s">
        <v>2</v>
      </c>
      <c r="O167" s="1">
        <v>20</v>
      </c>
      <c r="R167" t="str">
        <f t="shared" si="12"/>
        <v>FURNACE STATUS RESPONSE Fan:1 Ignition:1 Burner:1 Unknown:20</v>
      </c>
    </row>
    <row r="168" spans="1:18" hidden="1" x14ac:dyDescent="0.25">
      <c r="A168" s="3">
        <f t="shared" si="13"/>
        <v>44761.545595960641</v>
      </c>
      <c r="B168" s="8" t="str">
        <f t="shared" si="14"/>
        <v>→</v>
      </c>
      <c r="C168" s="11">
        <f t="shared" si="15"/>
        <v>58.948999999999998</v>
      </c>
      <c r="D168" s="2">
        <v>1658199939491</v>
      </c>
      <c r="E168" t="s">
        <v>0</v>
      </c>
      <c r="F168" s="1">
        <v>8</v>
      </c>
      <c r="G168" s="1">
        <v>21</v>
      </c>
      <c r="H168" s="1">
        <v>31</v>
      </c>
      <c r="I168" s="1">
        <v>7</v>
      </c>
      <c r="J168" s="1" t="s">
        <v>70</v>
      </c>
      <c r="K168" s="1">
        <v>0</v>
      </c>
      <c r="L168" s="1">
        <v>1</v>
      </c>
      <c r="M168" s="1">
        <v>94</v>
      </c>
      <c r="N168" s="1" t="s">
        <v>109</v>
      </c>
      <c r="R168" t="str">
        <f t="shared" si="12"/>
        <v>TIME 13:0 Tue</v>
      </c>
    </row>
    <row r="169" spans="1:18" hidden="1" x14ac:dyDescent="0.25">
      <c r="A169" s="3">
        <f t="shared" si="13"/>
        <v>44761.545597164346</v>
      </c>
      <c r="B169" s="8" t="str">
        <f t="shared" si="14"/>
        <v>←</v>
      </c>
      <c r="C169" s="11">
        <f t="shared" si="15"/>
        <v>0.104</v>
      </c>
      <c r="D169" s="2">
        <v>1658199939595</v>
      </c>
      <c r="E169" t="s">
        <v>0</v>
      </c>
      <c r="F169" s="1">
        <v>5</v>
      </c>
      <c r="G169" s="1">
        <v>31</v>
      </c>
      <c r="H169" s="1">
        <v>21</v>
      </c>
      <c r="I169" s="1" t="s">
        <v>6</v>
      </c>
      <c r="J169" s="1">
        <v>3</v>
      </c>
      <c r="K169" s="1" t="s">
        <v>7</v>
      </c>
      <c r="R169" t="str">
        <f t="shared" si="12"/>
        <v>Ack</v>
      </c>
    </row>
    <row r="170" spans="1:18" hidden="1" x14ac:dyDescent="0.25">
      <c r="A170" s="3">
        <f t="shared" si="13"/>
        <v>44761.545598495366</v>
      </c>
      <c r="B170" s="8" t="str">
        <f t="shared" si="14"/>
        <v>→</v>
      </c>
      <c r="C170" s="11">
        <f t="shared" si="15"/>
        <v>0.115</v>
      </c>
      <c r="D170" s="2">
        <v>1658199939710</v>
      </c>
      <c r="E170" t="s">
        <v>0</v>
      </c>
      <c r="F170" s="1">
        <v>5</v>
      </c>
      <c r="G170" s="1">
        <v>21</v>
      </c>
      <c r="H170" s="1">
        <v>31</v>
      </c>
      <c r="I170" s="1">
        <v>9</v>
      </c>
      <c r="J170" s="1">
        <v>60</v>
      </c>
      <c r="K170" s="1" t="s">
        <v>11</v>
      </c>
      <c r="R170" t="str">
        <f t="shared" si="12"/>
        <v>PING FURNACE</v>
      </c>
    </row>
    <row r="171" spans="1:18" hidden="1" x14ac:dyDescent="0.25">
      <c r="A171" s="3">
        <f t="shared" si="13"/>
        <v>44761.545599907404</v>
      </c>
      <c r="B171" s="8" t="str">
        <f t="shared" si="14"/>
        <v>←</v>
      </c>
      <c r="C171" s="11">
        <f t="shared" si="15"/>
        <v>0.122</v>
      </c>
      <c r="D171" s="2">
        <v>1658199939832</v>
      </c>
      <c r="E171" t="s">
        <v>0</v>
      </c>
      <c r="F171" s="1">
        <v>5</v>
      </c>
      <c r="G171" s="1">
        <v>31</v>
      </c>
      <c r="H171" s="1">
        <v>21</v>
      </c>
      <c r="I171" s="1" t="s">
        <v>6</v>
      </c>
      <c r="J171" s="1">
        <v>3</v>
      </c>
      <c r="K171" s="1" t="s">
        <v>7</v>
      </c>
      <c r="R171" t="str">
        <f t="shared" si="12"/>
        <v>Ack</v>
      </c>
    </row>
    <row r="172" spans="1:18" hidden="1" x14ac:dyDescent="0.25">
      <c r="A172" s="3">
        <f t="shared" si="13"/>
        <v>44761.545601712962</v>
      </c>
      <c r="B172" s="8" t="str">
        <f t="shared" si="14"/>
        <v>→</v>
      </c>
      <c r="C172" s="11">
        <f t="shared" si="15"/>
        <v>0.156</v>
      </c>
      <c r="D172" s="2">
        <v>1658199939988</v>
      </c>
      <c r="E172" t="s">
        <v>0</v>
      </c>
      <c r="F172" s="1" t="s">
        <v>3</v>
      </c>
      <c r="G172" s="1">
        <v>21</v>
      </c>
      <c r="H172" s="1">
        <v>31</v>
      </c>
      <c r="I172" s="1" t="s">
        <v>3</v>
      </c>
      <c r="J172" s="1" t="s">
        <v>6</v>
      </c>
      <c r="K172" s="1">
        <v>12</v>
      </c>
      <c r="L172" s="1">
        <v>23</v>
      </c>
      <c r="M172" s="1">
        <v>1</v>
      </c>
      <c r="N172" s="1">
        <v>0</v>
      </c>
      <c r="O172" s="1">
        <v>0</v>
      </c>
      <c r="P172" s="1">
        <v>62</v>
      </c>
      <c r="Q172" s="1">
        <v>71</v>
      </c>
      <c r="R172" t="str">
        <f t="shared" si="12"/>
        <v>TEMPERATURE INFO Set:18 Actual:17.5 Countdown:0</v>
      </c>
    </row>
    <row r="173" spans="1:18" hidden="1" x14ac:dyDescent="0.25">
      <c r="A173" s="3">
        <f t="shared" si="13"/>
        <v>44761.545603310187</v>
      </c>
      <c r="B173" s="8" t="str">
        <f t="shared" si="14"/>
        <v>←</v>
      </c>
      <c r="C173" s="11">
        <f t="shared" si="15"/>
        <v>0.13800000000000001</v>
      </c>
      <c r="D173" s="2">
        <v>1658199940126</v>
      </c>
      <c r="E173" t="s">
        <v>0</v>
      </c>
      <c r="F173" s="1">
        <v>5</v>
      </c>
      <c r="G173" s="1">
        <v>31</v>
      </c>
      <c r="H173" s="1">
        <v>21</v>
      </c>
      <c r="I173" s="1" t="s">
        <v>6</v>
      </c>
      <c r="J173" s="1">
        <v>3</v>
      </c>
      <c r="K173" s="1" t="s">
        <v>7</v>
      </c>
      <c r="R173" t="str">
        <f t="shared" si="12"/>
        <v>Ack</v>
      </c>
    </row>
    <row r="174" spans="1:18" x14ac:dyDescent="0.25">
      <c r="A174" s="3">
        <f t="shared" si="13"/>
        <v>44761.545604374995</v>
      </c>
      <c r="B174" s="8" t="str">
        <f t="shared" si="14"/>
        <v>→</v>
      </c>
      <c r="C174" s="11">
        <f t="shared" si="15"/>
        <v>9.1999999999999998E-2</v>
      </c>
      <c r="D174" s="2">
        <v>1658199940218</v>
      </c>
      <c r="E174" t="s">
        <v>0</v>
      </c>
      <c r="F174" s="1">
        <v>6</v>
      </c>
      <c r="G174" s="1">
        <v>21</v>
      </c>
      <c r="H174" s="1">
        <v>31</v>
      </c>
      <c r="I174" s="1">
        <v>29</v>
      </c>
      <c r="J174" s="1">
        <v>0</v>
      </c>
      <c r="K174" s="1" t="s">
        <v>13</v>
      </c>
      <c r="L174" s="1" t="s">
        <v>14</v>
      </c>
      <c r="R174" t="str">
        <f t="shared" si="12"/>
        <v>LONG PING FURNACE</v>
      </c>
    </row>
    <row r="175" spans="1:18" hidden="1" x14ac:dyDescent="0.25">
      <c r="A175" s="3">
        <f t="shared" si="13"/>
        <v>44761.54560578704</v>
      </c>
      <c r="B175" s="8" t="str">
        <f t="shared" si="14"/>
        <v>←</v>
      </c>
      <c r="C175" s="11">
        <f t="shared" si="15"/>
        <v>0.122</v>
      </c>
      <c r="D175" s="2">
        <v>1658199940340</v>
      </c>
      <c r="E175" t="s">
        <v>0</v>
      </c>
      <c r="F175" s="1">
        <v>5</v>
      </c>
      <c r="G175" s="1">
        <v>31</v>
      </c>
      <c r="H175" s="1">
        <v>21</v>
      </c>
      <c r="I175" s="1" t="s">
        <v>6</v>
      </c>
      <c r="J175" s="1">
        <v>3</v>
      </c>
      <c r="K175" s="1" t="s">
        <v>7</v>
      </c>
      <c r="R175" t="str">
        <f t="shared" si="12"/>
        <v>Ack</v>
      </c>
    </row>
    <row r="176" spans="1:18" hidden="1" x14ac:dyDescent="0.25">
      <c r="A176" s="3">
        <f t="shared" si="13"/>
        <v>44761.545606979162</v>
      </c>
      <c r="B176" s="8" t="str">
        <f t="shared" si="14"/>
        <v>→</v>
      </c>
      <c r="C176" s="11">
        <f t="shared" si="15"/>
        <v>0.10299999999999999</v>
      </c>
      <c r="D176" s="2">
        <v>1658199940443</v>
      </c>
      <c r="E176" t="s">
        <v>0</v>
      </c>
      <c r="F176" s="1">
        <v>5</v>
      </c>
      <c r="G176" s="1">
        <v>21</v>
      </c>
      <c r="H176" s="1">
        <v>31</v>
      </c>
      <c r="I176" s="1">
        <v>6</v>
      </c>
      <c r="J176" s="1">
        <v>60</v>
      </c>
      <c r="K176" s="1">
        <v>83</v>
      </c>
      <c r="R176" t="str">
        <f t="shared" si="12"/>
        <v>FURNACE STATUS REQUEST</v>
      </c>
    </row>
    <row r="177" spans="1:18" hidden="1" x14ac:dyDescent="0.25">
      <c r="A177" s="3">
        <f t="shared" si="13"/>
        <v>44761.545608599532</v>
      </c>
      <c r="B177" s="8" t="str">
        <f t="shared" si="14"/>
        <v>←</v>
      </c>
      <c r="C177" s="11">
        <f t="shared" si="15"/>
        <v>0.14000000000000001</v>
      </c>
      <c r="D177" s="2">
        <v>1658199940583</v>
      </c>
      <c r="E177" t="s">
        <v>0</v>
      </c>
      <c r="F177" s="1">
        <v>9</v>
      </c>
      <c r="G177" s="1">
        <v>31</v>
      </c>
      <c r="H177" s="1">
        <v>21</v>
      </c>
      <c r="I177" s="1" t="s">
        <v>1</v>
      </c>
      <c r="J177" s="1">
        <v>0</v>
      </c>
      <c r="K177" s="1">
        <v>27</v>
      </c>
      <c r="L177" s="1">
        <v>0</v>
      </c>
      <c r="M177" s="1">
        <v>0</v>
      </c>
      <c r="N177" s="1" t="s">
        <v>2</v>
      </c>
      <c r="O177" s="1">
        <v>20</v>
      </c>
      <c r="R177" t="str">
        <f t="shared" si="12"/>
        <v>FURNACE STATUS RESPONSE Fan:1 Ignition:1 Burner:1 Unknown:20</v>
      </c>
    </row>
    <row r="178" spans="1:18" hidden="1" x14ac:dyDescent="0.25">
      <c r="A178" s="3">
        <f t="shared" si="13"/>
        <v>44761.546290208331</v>
      </c>
      <c r="B178" s="8" t="str">
        <f t="shared" si="14"/>
        <v>→</v>
      </c>
      <c r="C178" s="11">
        <f t="shared" si="15"/>
        <v>58.890999999999998</v>
      </c>
      <c r="D178" s="2">
        <v>1658199999474</v>
      </c>
      <c r="E178" t="s">
        <v>0</v>
      </c>
      <c r="F178" s="1">
        <v>8</v>
      </c>
      <c r="G178" s="1">
        <v>21</v>
      </c>
      <c r="H178" s="1">
        <v>31</v>
      </c>
      <c r="I178" s="1">
        <v>7</v>
      </c>
      <c r="J178" s="1" t="s">
        <v>70</v>
      </c>
      <c r="K178" s="1">
        <v>1</v>
      </c>
      <c r="L178" s="1">
        <v>1</v>
      </c>
      <c r="M178" s="1">
        <v>12</v>
      </c>
      <c r="N178" s="1" t="s">
        <v>57</v>
      </c>
      <c r="R178" t="str">
        <f t="shared" si="12"/>
        <v>TIME 13:1 Tue</v>
      </c>
    </row>
    <row r="179" spans="1:18" hidden="1" x14ac:dyDescent="0.25">
      <c r="A179" s="3">
        <f t="shared" si="13"/>
        <v>44761.54629129629</v>
      </c>
      <c r="B179" s="8" t="str">
        <f t="shared" si="14"/>
        <v>←</v>
      </c>
      <c r="C179" s="11">
        <f t="shared" si="15"/>
        <v>9.4E-2</v>
      </c>
      <c r="D179" s="2">
        <v>1658199999568</v>
      </c>
      <c r="E179" t="s">
        <v>0</v>
      </c>
      <c r="F179" s="1">
        <v>5</v>
      </c>
      <c r="G179" s="1">
        <v>31</v>
      </c>
      <c r="H179" s="1">
        <v>21</v>
      </c>
      <c r="I179" s="1" t="s">
        <v>6</v>
      </c>
      <c r="J179" s="1">
        <v>3</v>
      </c>
      <c r="K179" s="1" t="s">
        <v>7</v>
      </c>
      <c r="R179" t="str">
        <f t="shared" si="12"/>
        <v>Ack</v>
      </c>
    </row>
    <row r="180" spans="1:18" hidden="1" x14ac:dyDescent="0.25">
      <c r="A180" s="3">
        <f t="shared" si="13"/>
        <v>44761.546292638886</v>
      </c>
      <c r="B180" s="8" t="str">
        <f t="shared" si="14"/>
        <v>→</v>
      </c>
      <c r="C180" s="11">
        <f t="shared" si="15"/>
        <v>0.11600000000000001</v>
      </c>
      <c r="D180" s="2">
        <v>1658199999684</v>
      </c>
      <c r="E180" t="s">
        <v>0</v>
      </c>
      <c r="F180" s="1">
        <v>5</v>
      </c>
      <c r="G180" s="1">
        <v>21</v>
      </c>
      <c r="H180" s="1">
        <v>31</v>
      </c>
      <c r="I180" s="1">
        <v>9</v>
      </c>
      <c r="J180" s="1">
        <v>60</v>
      </c>
      <c r="K180" s="1" t="s">
        <v>11</v>
      </c>
      <c r="R180" t="str">
        <f t="shared" si="12"/>
        <v>PING FURNACE</v>
      </c>
    </row>
    <row r="181" spans="1:18" hidden="1" x14ac:dyDescent="0.25">
      <c r="A181" s="3">
        <f t="shared" si="13"/>
        <v>44761.546293587962</v>
      </c>
      <c r="B181" s="8" t="str">
        <f t="shared" si="14"/>
        <v>←</v>
      </c>
      <c r="C181" s="11">
        <f t="shared" si="15"/>
        <v>8.2000000000000003E-2</v>
      </c>
      <c r="D181" s="2">
        <v>1658199999766</v>
      </c>
      <c r="E181" t="s">
        <v>0</v>
      </c>
      <c r="F181" s="1">
        <v>5</v>
      </c>
      <c r="G181" s="1">
        <v>31</v>
      </c>
      <c r="H181" s="1">
        <v>21</v>
      </c>
      <c r="I181" s="1" t="s">
        <v>6</v>
      </c>
      <c r="J181" s="1">
        <v>3</v>
      </c>
      <c r="K181" s="1" t="s">
        <v>7</v>
      </c>
      <c r="R181" t="str">
        <f t="shared" si="12"/>
        <v>Ack</v>
      </c>
    </row>
    <row r="182" spans="1:18" hidden="1" x14ac:dyDescent="0.25">
      <c r="A182" s="3">
        <f t="shared" si="13"/>
        <v>44761.546295601853</v>
      </c>
      <c r="B182" s="8" t="str">
        <f t="shared" si="14"/>
        <v>→</v>
      </c>
      <c r="C182" s="11">
        <f t="shared" si="15"/>
        <v>0.17399999999999999</v>
      </c>
      <c r="D182" s="2">
        <v>1658199999940</v>
      </c>
      <c r="E182" t="s">
        <v>0</v>
      </c>
      <c r="F182" s="1" t="s">
        <v>3</v>
      </c>
      <c r="G182" s="1">
        <v>21</v>
      </c>
      <c r="H182" s="1">
        <v>31</v>
      </c>
      <c r="I182" s="1" t="s">
        <v>3</v>
      </c>
      <c r="J182" s="1" t="s">
        <v>6</v>
      </c>
      <c r="K182" s="1">
        <v>12</v>
      </c>
      <c r="L182" s="1">
        <v>23</v>
      </c>
      <c r="M182" s="1">
        <v>1</v>
      </c>
      <c r="N182" s="1">
        <v>0</v>
      </c>
      <c r="O182" s="1">
        <v>0</v>
      </c>
      <c r="P182" s="1">
        <v>62</v>
      </c>
      <c r="Q182" s="1">
        <v>71</v>
      </c>
      <c r="R182" t="str">
        <f t="shared" si="12"/>
        <v>TEMPERATURE INFO Set:18 Actual:17.5 Countdown:0</v>
      </c>
    </row>
    <row r="183" spans="1:18" hidden="1" x14ac:dyDescent="0.25">
      <c r="A183" s="3">
        <f t="shared" si="13"/>
        <v>44761.546296736109</v>
      </c>
      <c r="B183" s="8" t="str">
        <f t="shared" si="14"/>
        <v>←</v>
      </c>
      <c r="C183" s="11">
        <f t="shared" si="15"/>
        <v>9.8000000000000004E-2</v>
      </c>
      <c r="D183" s="2">
        <v>1658200000038</v>
      </c>
      <c r="E183" t="s">
        <v>0</v>
      </c>
      <c r="F183" s="1">
        <v>5</v>
      </c>
      <c r="G183" s="1">
        <v>31</v>
      </c>
      <c r="H183" s="1">
        <v>21</v>
      </c>
      <c r="I183" s="1" t="s">
        <v>6</v>
      </c>
      <c r="J183" s="1">
        <v>3</v>
      </c>
      <c r="K183" s="1" t="s">
        <v>7</v>
      </c>
      <c r="R183" t="str">
        <f t="shared" si="12"/>
        <v>Ack</v>
      </c>
    </row>
    <row r="184" spans="1:18" x14ac:dyDescent="0.25">
      <c r="A184" s="3">
        <f t="shared" si="13"/>
        <v>44761.546298425928</v>
      </c>
      <c r="B184" s="8" t="str">
        <f t="shared" si="14"/>
        <v>→</v>
      </c>
      <c r="C184" s="11">
        <f t="shared" si="15"/>
        <v>0.14599999999999999</v>
      </c>
      <c r="D184" s="2">
        <v>1658200000184</v>
      </c>
      <c r="E184" t="s">
        <v>0</v>
      </c>
      <c r="F184" s="1">
        <v>6</v>
      </c>
      <c r="G184" s="1">
        <v>21</v>
      </c>
      <c r="H184" s="1">
        <v>31</v>
      </c>
      <c r="I184" s="1">
        <v>29</v>
      </c>
      <c r="J184" s="1">
        <v>0</v>
      </c>
      <c r="K184" s="1" t="s">
        <v>13</v>
      </c>
      <c r="L184" s="1" t="s">
        <v>14</v>
      </c>
      <c r="R184" t="str">
        <f t="shared" si="12"/>
        <v>LONG PING FURNACE</v>
      </c>
    </row>
    <row r="185" spans="1:18" hidden="1" x14ac:dyDescent="0.25">
      <c r="A185" s="3">
        <f t="shared" si="13"/>
        <v>44761.54629953704</v>
      </c>
      <c r="B185" s="8" t="str">
        <f t="shared" si="14"/>
        <v>←</v>
      </c>
      <c r="C185" s="11">
        <f t="shared" si="15"/>
        <v>9.6000000000000002E-2</v>
      </c>
      <c r="D185" s="2">
        <v>1658200000280</v>
      </c>
      <c r="E185" t="s">
        <v>0</v>
      </c>
      <c r="F185" s="1">
        <v>5</v>
      </c>
      <c r="G185" s="1">
        <v>31</v>
      </c>
      <c r="H185" s="1">
        <v>21</v>
      </c>
      <c r="I185" s="1" t="s">
        <v>6</v>
      </c>
      <c r="J185" s="1">
        <v>3</v>
      </c>
      <c r="K185" s="1" t="s">
        <v>7</v>
      </c>
      <c r="R185" t="str">
        <f t="shared" si="12"/>
        <v>Ack</v>
      </c>
    </row>
    <row r="186" spans="1:18" hidden="1" x14ac:dyDescent="0.25">
      <c r="A186" s="3">
        <f t="shared" si="13"/>
        <v>44761.546300462964</v>
      </c>
      <c r="B186" s="8" t="str">
        <f t="shared" si="14"/>
        <v>→</v>
      </c>
      <c r="C186" s="11">
        <f t="shared" si="15"/>
        <v>0.08</v>
      </c>
      <c r="D186" s="2">
        <v>1658200000360</v>
      </c>
      <c r="E186" t="s">
        <v>0</v>
      </c>
      <c r="F186" s="1">
        <v>5</v>
      </c>
      <c r="G186" s="1">
        <v>21</v>
      </c>
      <c r="H186" s="1">
        <v>31</v>
      </c>
      <c r="I186" s="1">
        <v>6</v>
      </c>
      <c r="J186" s="1">
        <v>60</v>
      </c>
      <c r="K186" s="1">
        <v>83</v>
      </c>
      <c r="R186" t="str">
        <f t="shared" si="12"/>
        <v>FURNACE STATUS REQUEST</v>
      </c>
    </row>
    <row r="187" spans="1:18" hidden="1" x14ac:dyDescent="0.25">
      <c r="A187" s="3">
        <f t="shared" si="13"/>
        <v>44761.546302164345</v>
      </c>
      <c r="B187" s="8" t="str">
        <f t="shared" si="14"/>
        <v>←</v>
      </c>
      <c r="C187" s="11">
        <f t="shared" si="15"/>
        <v>0.14699999999999999</v>
      </c>
      <c r="D187" s="2">
        <v>1658200000507</v>
      </c>
      <c r="E187" t="s">
        <v>0</v>
      </c>
      <c r="F187" s="1">
        <v>9</v>
      </c>
      <c r="G187" s="1">
        <v>31</v>
      </c>
      <c r="H187" s="1">
        <v>21</v>
      </c>
      <c r="I187" s="1" t="s">
        <v>1</v>
      </c>
      <c r="J187" s="1">
        <v>0</v>
      </c>
      <c r="K187" s="1">
        <v>27</v>
      </c>
      <c r="L187" s="1">
        <v>0</v>
      </c>
      <c r="M187" s="1">
        <v>0</v>
      </c>
      <c r="N187" s="1" t="s">
        <v>2</v>
      </c>
      <c r="O187" s="1">
        <v>20</v>
      </c>
      <c r="R187" t="str">
        <f t="shared" si="12"/>
        <v>FURNACE STATUS RESPONSE Fan:1 Ignition:1 Burner:1 Unknown:20</v>
      </c>
    </row>
    <row r="188" spans="1:18" hidden="1" x14ac:dyDescent="0.25">
      <c r="A188" s="3">
        <f t="shared" si="13"/>
        <v>44761.546984699067</v>
      </c>
      <c r="B188" s="8" t="str">
        <f t="shared" si="14"/>
        <v>→</v>
      </c>
      <c r="C188" s="11">
        <f t="shared" si="15"/>
        <v>58.970999999999997</v>
      </c>
      <c r="D188" s="2">
        <v>1658200059478</v>
      </c>
      <c r="E188" t="s">
        <v>0</v>
      </c>
      <c r="F188" s="1">
        <v>8</v>
      </c>
      <c r="G188" s="1">
        <v>21</v>
      </c>
      <c r="H188" s="1">
        <v>31</v>
      </c>
      <c r="I188" s="1">
        <v>7</v>
      </c>
      <c r="J188" s="1" t="s">
        <v>70</v>
      </c>
      <c r="K188" s="1">
        <v>2</v>
      </c>
      <c r="L188" s="1">
        <v>1</v>
      </c>
      <c r="M188" s="1">
        <v>18</v>
      </c>
      <c r="N188" s="1" t="s">
        <v>57</v>
      </c>
      <c r="R188" t="str">
        <f t="shared" si="12"/>
        <v>TIME 13:2 Tue</v>
      </c>
    </row>
    <row r="189" spans="1:18" hidden="1" x14ac:dyDescent="0.25">
      <c r="A189" s="3">
        <f t="shared" si="13"/>
        <v>44761.54698608796</v>
      </c>
      <c r="B189" s="8" t="str">
        <f t="shared" si="14"/>
        <v>←</v>
      </c>
      <c r="C189" s="11">
        <f t="shared" si="15"/>
        <v>0.12</v>
      </c>
      <c r="D189" s="2">
        <v>1658200059598</v>
      </c>
      <c r="E189" t="s">
        <v>0</v>
      </c>
      <c r="F189" s="1">
        <v>5</v>
      </c>
      <c r="G189" s="1">
        <v>31</v>
      </c>
      <c r="H189" s="1">
        <v>21</v>
      </c>
      <c r="I189" s="1" t="s">
        <v>6</v>
      </c>
      <c r="J189" s="1">
        <v>3</v>
      </c>
      <c r="K189" s="1" t="s">
        <v>7</v>
      </c>
      <c r="R189" t="str">
        <f t="shared" si="12"/>
        <v>Ack</v>
      </c>
    </row>
    <row r="190" spans="1:18" hidden="1" x14ac:dyDescent="0.25">
      <c r="A190" s="3">
        <f t="shared" si="13"/>
        <v>44761.546987361107</v>
      </c>
      <c r="B190" s="8" t="str">
        <f t="shared" si="14"/>
        <v>→</v>
      </c>
      <c r="C190" s="11">
        <f t="shared" si="15"/>
        <v>0.11</v>
      </c>
      <c r="D190" s="2">
        <v>1658200059708</v>
      </c>
      <c r="E190" t="s">
        <v>0</v>
      </c>
      <c r="F190" s="1">
        <v>5</v>
      </c>
      <c r="G190" s="1">
        <v>21</v>
      </c>
      <c r="H190" s="1">
        <v>31</v>
      </c>
      <c r="I190" s="1">
        <v>9</v>
      </c>
      <c r="J190" s="1">
        <v>60</v>
      </c>
      <c r="K190" s="1" t="s">
        <v>11</v>
      </c>
      <c r="R190" t="str">
        <f t="shared" si="12"/>
        <v>PING FURNACE</v>
      </c>
    </row>
    <row r="191" spans="1:18" hidden="1" x14ac:dyDescent="0.25">
      <c r="A191" s="3">
        <f t="shared" si="13"/>
        <v>44761.546988773145</v>
      </c>
      <c r="B191" s="8" t="str">
        <f t="shared" si="14"/>
        <v>←</v>
      </c>
      <c r="C191" s="11">
        <f t="shared" si="15"/>
        <v>0.122</v>
      </c>
      <c r="D191" s="2">
        <v>1658200059830</v>
      </c>
      <c r="E191" t="s">
        <v>0</v>
      </c>
      <c r="F191" s="1">
        <v>5</v>
      </c>
      <c r="G191" s="1">
        <v>31</v>
      </c>
      <c r="H191" s="1">
        <v>21</v>
      </c>
      <c r="I191" s="1" t="s">
        <v>6</v>
      </c>
      <c r="J191" s="1">
        <v>3</v>
      </c>
      <c r="K191" s="1" t="s">
        <v>7</v>
      </c>
      <c r="R191" t="str">
        <f t="shared" si="12"/>
        <v>Ack</v>
      </c>
    </row>
    <row r="192" spans="1:18" hidden="1" x14ac:dyDescent="0.25">
      <c r="A192" s="3">
        <f t="shared" si="13"/>
        <v>44761.546990486109</v>
      </c>
      <c r="B192" s="8" t="str">
        <f t="shared" si="14"/>
        <v>→</v>
      </c>
      <c r="C192" s="11">
        <f t="shared" si="15"/>
        <v>0.14799999999999999</v>
      </c>
      <c r="D192" s="2">
        <v>1658200059978</v>
      </c>
      <c r="E192" t="s">
        <v>0</v>
      </c>
      <c r="F192" s="1" t="s">
        <v>3</v>
      </c>
      <c r="G192" s="1">
        <v>21</v>
      </c>
      <c r="H192" s="1">
        <v>31</v>
      </c>
      <c r="I192" s="1" t="s">
        <v>3</v>
      </c>
      <c r="J192" s="1" t="s">
        <v>6</v>
      </c>
      <c r="K192" s="1">
        <v>12</v>
      </c>
      <c r="L192" s="1">
        <v>23</v>
      </c>
      <c r="M192" s="1">
        <v>1</v>
      </c>
      <c r="N192" s="1">
        <v>0</v>
      </c>
      <c r="O192" s="1">
        <v>0</v>
      </c>
      <c r="P192" s="1">
        <v>62</v>
      </c>
      <c r="Q192" s="1">
        <v>71</v>
      </c>
      <c r="R192" t="str">
        <f t="shared" si="12"/>
        <v>TEMPERATURE INFO Set:18 Actual:17.5 Countdown:0</v>
      </c>
    </row>
    <row r="193" spans="1:18" hidden="1" x14ac:dyDescent="0.25">
      <c r="A193" s="3">
        <f t="shared" si="13"/>
        <v>44761.546991932868</v>
      </c>
      <c r="B193" s="8" t="str">
        <f t="shared" si="14"/>
        <v>←</v>
      </c>
      <c r="C193" s="11">
        <f t="shared" si="15"/>
        <v>0.125</v>
      </c>
      <c r="D193" s="2">
        <v>1658200060103</v>
      </c>
      <c r="E193" t="s">
        <v>0</v>
      </c>
      <c r="F193" s="1">
        <v>5</v>
      </c>
      <c r="G193" s="1">
        <v>31</v>
      </c>
      <c r="H193" s="1">
        <v>21</v>
      </c>
      <c r="I193" s="1" t="s">
        <v>6</v>
      </c>
      <c r="J193" s="1">
        <v>3</v>
      </c>
      <c r="K193" s="1" t="s">
        <v>7</v>
      </c>
      <c r="R193" t="str">
        <f t="shared" si="12"/>
        <v>Ack</v>
      </c>
    </row>
    <row r="194" spans="1:18" x14ac:dyDescent="0.25">
      <c r="A194" s="3">
        <f t="shared" si="13"/>
        <v>44761.546993124997</v>
      </c>
      <c r="B194" s="8" t="str">
        <f t="shared" si="14"/>
        <v>→</v>
      </c>
      <c r="C194" s="11">
        <f t="shared" si="15"/>
        <v>0.10299999999999999</v>
      </c>
      <c r="D194" s="2">
        <v>1658200060206</v>
      </c>
      <c r="E194" t="s">
        <v>0</v>
      </c>
      <c r="F194" s="1">
        <v>6</v>
      </c>
      <c r="G194" s="1">
        <v>21</v>
      </c>
      <c r="H194" s="1">
        <v>31</v>
      </c>
      <c r="I194" s="1">
        <v>29</v>
      </c>
      <c r="J194" s="1">
        <v>0</v>
      </c>
      <c r="K194" s="1" t="s">
        <v>13</v>
      </c>
      <c r="L194" s="1" t="s">
        <v>14</v>
      </c>
      <c r="R194" t="str">
        <f t="shared" si="12"/>
        <v>LONG PING FURNACE</v>
      </c>
    </row>
    <row r="195" spans="1:18" hidden="1" x14ac:dyDescent="0.25">
      <c r="A195" s="3">
        <f t="shared" si="13"/>
        <v>44761.546994502314</v>
      </c>
      <c r="B195" s="8" t="str">
        <f t="shared" si="14"/>
        <v>←</v>
      </c>
      <c r="C195" s="11">
        <f t="shared" si="15"/>
        <v>0.11899999999999999</v>
      </c>
      <c r="D195" s="2">
        <v>1658200060325</v>
      </c>
      <c r="E195" t="s">
        <v>0</v>
      </c>
      <c r="F195" s="1">
        <v>5</v>
      </c>
      <c r="G195" s="1">
        <v>31</v>
      </c>
      <c r="H195" s="1">
        <v>21</v>
      </c>
      <c r="I195" s="1" t="s">
        <v>6</v>
      </c>
      <c r="J195" s="1">
        <v>3</v>
      </c>
      <c r="K195" s="1" t="s">
        <v>7</v>
      </c>
      <c r="R195" t="str">
        <f t="shared" ref="R195:R258" si="16">IF(E195="Ok",_xlfn.SWITCH(I195,5,"FURNACE STATUS REPORT Fan:"&amp;IF(_xlfn.BITAND(HEX2DEC(K195),1),"1","0")&amp;" Ignition:"&amp;IF(_xlfn.BITAND(HEX2DEC(K195),2),"1","0")&amp;" Burner:"&amp;IF(_xlfn.BITAND(HEX2DEC(K195),4),"1","0")&amp;" Unknown:"&amp;DEC2HEX(_xlfn.BITAND(HEX2DEC(K195),248)),6,"FURNACE STATUS REQUEST",7,"TIME "&amp;HEX2DEC(J195)&amp;":"&amp;HEX2DEC(K195)&amp;" "&amp;CHOOSE(L195+1,"Mon","Tue","Wed","Thu","Fri","Sat","Sun"),9,"PING FURNACE","0B","TEMPERATURE INFO Set:"&amp;HEX2DEC(K195)&amp;" Actual:"&amp;HEX2DEC(L195)/2&amp;" Countdown:"&amp;HEX2DEC(N195),29,"LONG PING FURNACE","FB","FURNACE STATUS RESPONSE Fan:"&amp;IF(_xlfn.BITAND(HEX2DEC(K195),1),"1","0")&amp;" Ignition:"&amp;IF(_xlfn.BITAND(HEX2DEC(K195),2),"1","0")&amp;" Burner:"&amp;IF(_xlfn.BITAND(HEX2DEC(K195),4),"1","0")&amp;" Unknown:"&amp;DEC2HEX(_xlfn.BITAND(HEX2DEC(K195),248)),"FF","Ack"),"")</f>
        <v>Ack</v>
      </c>
    </row>
    <row r="196" spans="1:18" hidden="1" x14ac:dyDescent="0.25">
      <c r="A196" s="3">
        <f t="shared" si="13"/>
        <v>44761.546995555553</v>
      </c>
      <c r="B196" s="8" t="str">
        <f t="shared" si="14"/>
        <v>→</v>
      </c>
      <c r="C196" s="11">
        <f t="shared" si="15"/>
        <v>9.0999999999999998E-2</v>
      </c>
      <c r="D196" s="2">
        <v>1658200060416</v>
      </c>
      <c r="E196" t="s">
        <v>0</v>
      </c>
      <c r="F196" s="1">
        <v>5</v>
      </c>
      <c r="G196" s="1">
        <v>21</v>
      </c>
      <c r="H196" s="1">
        <v>31</v>
      </c>
      <c r="I196" s="1">
        <v>6</v>
      </c>
      <c r="J196" s="1">
        <v>60</v>
      </c>
      <c r="K196" s="1">
        <v>83</v>
      </c>
      <c r="R196" t="str">
        <f t="shared" si="16"/>
        <v>FURNACE STATUS REQUEST</v>
      </c>
    </row>
    <row r="197" spans="1:18" hidden="1" x14ac:dyDescent="0.25">
      <c r="A197" s="3">
        <f t="shared" si="13"/>
        <v>44761.546997256941</v>
      </c>
      <c r="B197" s="8" t="str">
        <f t="shared" si="14"/>
        <v>←</v>
      </c>
      <c r="C197" s="11">
        <f t="shared" si="15"/>
        <v>0.14699999999999999</v>
      </c>
      <c r="D197" s="2">
        <v>1658200060563</v>
      </c>
      <c r="E197" t="s">
        <v>0</v>
      </c>
      <c r="F197" s="1">
        <v>9</v>
      </c>
      <c r="G197" s="1">
        <v>31</v>
      </c>
      <c r="H197" s="1">
        <v>21</v>
      </c>
      <c r="I197" s="1" t="s">
        <v>1</v>
      </c>
      <c r="J197" s="1">
        <v>0</v>
      </c>
      <c r="K197" s="1">
        <v>27</v>
      </c>
      <c r="L197" s="1">
        <v>0</v>
      </c>
      <c r="M197" s="1">
        <v>0</v>
      </c>
      <c r="N197" s="1" t="s">
        <v>2</v>
      </c>
      <c r="O197" s="1">
        <v>20</v>
      </c>
      <c r="R197" t="str">
        <f t="shared" si="16"/>
        <v>FURNACE STATUS RESPONSE Fan:1 Ignition:1 Burner:1 Unknown:20</v>
      </c>
    </row>
    <row r="198" spans="1:18" hidden="1" x14ac:dyDescent="0.25">
      <c r="A198" s="3">
        <f t="shared" si="13"/>
        <v>44761.54767934027</v>
      </c>
      <c r="B198" s="8" t="str">
        <f t="shared" si="14"/>
        <v>→</v>
      </c>
      <c r="C198" s="11">
        <f t="shared" si="15"/>
        <v>58.932000000000002</v>
      </c>
      <c r="D198" s="2">
        <v>1658200119495</v>
      </c>
      <c r="E198" t="s">
        <v>0</v>
      </c>
      <c r="F198" s="1">
        <v>8</v>
      </c>
      <c r="G198" s="1">
        <v>21</v>
      </c>
      <c r="H198" s="1">
        <v>31</v>
      </c>
      <c r="I198" s="1">
        <v>7</v>
      </c>
      <c r="J198" s="1" t="s">
        <v>70</v>
      </c>
      <c r="K198" s="1">
        <v>3</v>
      </c>
      <c r="L198" s="1">
        <v>1</v>
      </c>
      <c r="M198" s="1" t="s">
        <v>100</v>
      </c>
      <c r="N198" s="1" t="s">
        <v>109</v>
      </c>
      <c r="R198" t="str">
        <f t="shared" si="16"/>
        <v>TIME 13:3 Tue</v>
      </c>
    </row>
    <row r="199" spans="1:18" hidden="1" x14ac:dyDescent="0.25">
      <c r="A199" s="3">
        <f t="shared" si="13"/>
        <v>44761.547680706011</v>
      </c>
      <c r="B199" s="8" t="str">
        <f t="shared" si="14"/>
        <v>←</v>
      </c>
      <c r="C199" s="11">
        <f t="shared" si="15"/>
        <v>0.11799999999999999</v>
      </c>
      <c r="D199" s="2">
        <v>1658200119613</v>
      </c>
      <c r="E199" t="s">
        <v>0</v>
      </c>
      <c r="F199" s="1">
        <v>5</v>
      </c>
      <c r="G199" s="1">
        <v>31</v>
      </c>
      <c r="H199" s="1">
        <v>21</v>
      </c>
      <c r="I199" s="1" t="s">
        <v>6</v>
      </c>
      <c r="J199" s="1">
        <v>3</v>
      </c>
      <c r="K199" s="1" t="s">
        <v>7</v>
      </c>
      <c r="R199" t="str">
        <f t="shared" si="16"/>
        <v>Ack</v>
      </c>
    </row>
    <row r="200" spans="1:18" hidden="1" x14ac:dyDescent="0.25">
      <c r="A200" s="3">
        <f t="shared" si="13"/>
        <v>44761.54768200231</v>
      </c>
      <c r="B200" s="8" t="str">
        <f t="shared" si="14"/>
        <v>→</v>
      </c>
      <c r="C200" s="11">
        <f t="shared" si="15"/>
        <v>0.112</v>
      </c>
      <c r="D200" s="2">
        <v>1658200119725</v>
      </c>
      <c r="E200" t="s">
        <v>0</v>
      </c>
      <c r="F200" s="1">
        <v>5</v>
      </c>
      <c r="G200" s="1">
        <v>21</v>
      </c>
      <c r="H200" s="1">
        <v>31</v>
      </c>
      <c r="I200" s="1">
        <v>9</v>
      </c>
      <c r="J200" s="1">
        <v>60</v>
      </c>
      <c r="K200" s="1" t="s">
        <v>11</v>
      </c>
      <c r="R200" t="str">
        <f t="shared" si="16"/>
        <v>PING FURNACE</v>
      </c>
    </row>
    <row r="201" spans="1:18" hidden="1" x14ac:dyDescent="0.25">
      <c r="A201" s="3">
        <f t="shared" si="13"/>
        <v>44761.547683148143</v>
      </c>
      <c r="B201" s="8" t="str">
        <f t="shared" si="14"/>
        <v>←</v>
      </c>
      <c r="C201" s="11">
        <f t="shared" si="15"/>
        <v>9.9000000000000005E-2</v>
      </c>
      <c r="D201" s="2">
        <v>1658200119824</v>
      </c>
      <c r="E201" t="s">
        <v>0</v>
      </c>
      <c r="F201" s="1">
        <v>5</v>
      </c>
      <c r="G201" s="1">
        <v>31</v>
      </c>
      <c r="H201" s="1">
        <v>21</v>
      </c>
      <c r="I201" s="1" t="s">
        <v>6</v>
      </c>
      <c r="J201" s="1">
        <v>3</v>
      </c>
      <c r="K201" s="1" t="s">
        <v>7</v>
      </c>
      <c r="R201" t="str">
        <f t="shared" si="16"/>
        <v>Ack</v>
      </c>
    </row>
    <row r="202" spans="1:18" hidden="1" x14ac:dyDescent="0.25">
      <c r="A202" s="3">
        <f t="shared" si="13"/>
        <v>44761.547684976853</v>
      </c>
      <c r="B202" s="8" t="str">
        <f t="shared" si="14"/>
        <v>→</v>
      </c>
      <c r="C202" s="11">
        <f t="shared" si="15"/>
        <v>0.158</v>
      </c>
      <c r="D202" s="2">
        <v>1658200119982</v>
      </c>
      <c r="E202" t="s">
        <v>0</v>
      </c>
      <c r="F202" s="1" t="s">
        <v>3</v>
      </c>
      <c r="G202" s="1">
        <v>21</v>
      </c>
      <c r="H202" s="1">
        <v>31</v>
      </c>
      <c r="I202" s="1" t="s">
        <v>3</v>
      </c>
      <c r="J202" s="1" t="s">
        <v>6</v>
      </c>
      <c r="K202" s="1">
        <v>12</v>
      </c>
      <c r="L202" s="1">
        <v>24</v>
      </c>
      <c r="M202" s="1">
        <v>1</v>
      </c>
      <c r="N202" s="1">
        <v>0</v>
      </c>
      <c r="O202" s="1">
        <v>0</v>
      </c>
      <c r="P202" s="1" t="s">
        <v>63</v>
      </c>
      <c r="Q202" s="1">
        <v>72</v>
      </c>
      <c r="R202" t="str">
        <f t="shared" si="16"/>
        <v>TEMPERATURE INFO Set:18 Actual:18 Countdown:0</v>
      </c>
    </row>
    <row r="203" spans="1:18" hidden="1" x14ac:dyDescent="0.25">
      <c r="A203" s="3">
        <f t="shared" si="13"/>
        <v>44761.54768625</v>
      </c>
      <c r="B203" s="8" t="str">
        <f t="shared" si="14"/>
        <v>←</v>
      </c>
      <c r="C203" s="11">
        <f t="shared" si="15"/>
        <v>0.11</v>
      </c>
      <c r="D203" s="2">
        <v>1658200120092</v>
      </c>
      <c r="E203" t="s">
        <v>0</v>
      </c>
      <c r="F203" s="1">
        <v>5</v>
      </c>
      <c r="G203" s="1">
        <v>31</v>
      </c>
      <c r="H203" s="1">
        <v>21</v>
      </c>
      <c r="I203" s="1" t="s">
        <v>6</v>
      </c>
      <c r="J203" s="1">
        <v>3</v>
      </c>
      <c r="K203" s="1" t="s">
        <v>7</v>
      </c>
      <c r="R203" t="str">
        <f t="shared" si="16"/>
        <v>Ack</v>
      </c>
    </row>
    <row r="204" spans="1:18" x14ac:dyDescent="0.25">
      <c r="A204" s="3">
        <f t="shared" si="13"/>
        <v>44761.547687314807</v>
      </c>
      <c r="B204" s="8" t="str">
        <f t="shared" si="14"/>
        <v>→</v>
      </c>
      <c r="C204" s="11">
        <f t="shared" si="15"/>
        <v>9.1999999999999998E-2</v>
      </c>
      <c r="D204" s="2">
        <v>1658200120184</v>
      </c>
      <c r="E204" t="s">
        <v>0</v>
      </c>
      <c r="F204" s="1">
        <v>6</v>
      </c>
      <c r="G204" s="1">
        <v>21</v>
      </c>
      <c r="H204" s="1">
        <v>31</v>
      </c>
      <c r="I204" s="1">
        <v>29</v>
      </c>
      <c r="J204" s="1">
        <v>0</v>
      </c>
      <c r="K204" s="1" t="s">
        <v>13</v>
      </c>
      <c r="L204" s="1" t="s">
        <v>14</v>
      </c>
      <c r="R204" t="str">
        <f t="shared" si="16"/>
        <v>LONG PING FURNACE</v>
      </c>
    </row>
    <row r="205" spans="1:18" hidden="1" x14ac:dyDescent="0.25">
      <c r="A205" s="3">
        <f t="shared" si="13"/>
        <v>44761.547688877312</v>
      </c>
      <c r="B205" s="8" t="str">
        <f t="shared" si="14"/>
        <v>←</v>
      </c>
      <c r="C205" s="11">
        <f t="shared" si="15"/>
        <v>0.13500000000000001</v>
      </c>
      <c r="D205" s="2">
        <v>1658200120319</v>
      </c>
      <c r="E205" t="s">
        <v>0</v>
      </c>
      <c r="F205" s="1">
        <v>5</v>
      </c>
      <c r="G205" s="1">
        <v>31</v>
      </c>
      <c r="H205" s="1">
        <v>21</v>
      </c>
      <c r="I205" s="1" t="s">
        <v>6</v>
      </c>
      <c r="J205" s="1">
        <v>3</v>
      </c>
      <c r="K205" s="1" t="s">
        <v>7</v>
      </c>
      <c r="R205" t="str">
        <f t="shared" si="16"/>
        <v>Ack</v>
      </c>
    </row>
    <row r="206" spans="1:18" hidden="1" x14ac:dyDescent="0.25">
      <c r="A206" s="3">
        <f t="shared" si="13"/>
        <v>44761.547689733794</v>
      </c>
      <c r="B206" s="8" t="str">
        <f t="shared" si="14"/>
        <v>→</v>
      </c>
      <c r="C206" s="11">
        <f t="shared" si="15"/>
        <v>7.3999999999999996E-2</v>
      </c>
      <c r="D206" s="2">
        <v>1658200120393</v>
      </c>
      <c r="E206" t="s">
        <v>0</v>
      </c>
      <c r="F206" s="1">
        <v>5</v>
      </c>
      <c r="G206" s="1">
        <v>21</v>
      </c>
      <c r="H206" s="1">
        <v>31</v>
      </c>
      <c r="I206" s="1">
        <v>6</v>
      </c>
      <c r="J206" s="1">
        <v>60</v>
      </c>
      <c r="K206" s="1">
        <v>83</v>
      </c>
      <c r="R206" t="str">
        <f t="shared" si="16"/>
        <v>FURNACE STATUS REQUEST</v>
      </c>
    </row>
    <row r="207" spans="1:18" hidden="1" x14ac:dyDescent="0.25">
      <c r="A207" s="3">
        <f t="shared" si="13"/>
        <v>44761.547691296299</v>
      </c>
      <c r="B207" s="8" t="str">
        <f t="shared" si="14"/>
        <v>←</v>
      </c>
      <c r="C207" s="11">
        <f t="shared" si="15"/>
        <v>0.13500000000000001</v>
      </c>
      <c r="D207" s="2">
        <v>1658200120528</v>
      </c>
      <c r="E207" t="s">
        <v>0</v>
      </c>
      <c r="F207" s="1">
        <v>9</v>
      </c>
      <c r="G207" s="1">
        <v>31</v>
      </c>
      <c r="H207" s="1">
        <v>21</v>
      </c>
      <c r="I207" s="1" t="s">
        <v>1</v>
      </c>
      <c r="J207" s="1">
        <v>0</v>
      </c>
      <c r="K207" s="1">
        <v>27</v>
      </c>
      <c r="L207" s="1">
        <v>0</v>
      </c>
      <c r="M207" s="1">
        <v>0</v>
      </c>
      <c r="N207" s="1" t="s">
        <v>2</v>
      </c>
      <c r="O207" s="1">
        <v>20</v>
      </c>
      <c r="R207" t="str">
        <f t="shared" si="16"/>
        <v>FURNACE STATUS RESPONSE Fan:1 Ignition:1 Burner:1 Unknown:20</v>
      </c>
    </row>
    <row r="208" spans="1:18" hidden="1" x14ac:dyDescent="0.25">
      <c r="A208" s="3">
        <f t="shared" si="13"/>
        <v>44761.548373784717</v>
      </c>
      <c r="B208" s="8" t="str">
        <f t="shared" si="14"/>
        <v>→</v>
      </c>
      <c r="C208" s="11">
        <f t="shared" si="15"/>
        <v>58.966999999999999</v>
      </c>
      <c r="D208" s="2">
        <v>1658200179495</v>
      </c>
      <c r="E208" t="s">
        <v>0</v>
      </c>
      <c r="F208" s="1">
        <v>8</v>
      </c>
      <c r="G208" s="1">
        <v>21</v>
      </c>
      <c r="H208" s="1">
        <v>31</v>
      </c>
      <c r="I208" s="1">
        <v>7</v>
      </c>
      <c r="J208" s="1" t="s">
        <v>70</v>
      </c>
      <c r="K208" s="1">
        <v>4</v>
      </c>
      <c r="L208" s="1">
        <v>1</v>
      </c>
      <c r="M208" s="1" t="s">
        <v>68</v>
      </c>
      <c r="N208" s="1" t="s">
        <v>57</v>
      </c>
      <c r="R208" t="str">
        <f t="shared" si="16"/>
        <v>TIME 13:4 Tue</v>
      </c>
    </row>
    <row r="209" spans="1:18" hidden="1" x14ac:dyDescent="0.25">
      <c r="A209" s="3">
        <f t="shared" si="13"/>
        <v>44761.54837496527</v>
      </c>
      <c r="B209" s="8" t="str">
        <f t="shared" si="14"/>
        <v>←</v>
      </c>
      <c r="C209" s="11">
        <f t="shared" si="15"/>
        <v>0.10199999999999999</v>
      </c>
      <c r="D209" s="2">
        <v>1658200179597</v>
      </c>
      <c r="E209" t="s">
        <v>0</v>
      </c>
      <c r="F209" s="1">
        <v>5</v>
      </c>
      <c r="G209" s="1">
        <v>31</v>
      </c>
      <c r="H209" s="1">
        <v>21</v>
      </c>
      <c r="I209" s="1" t="s">
        <v>6</v>
      </c>
      <c r="J209" s="1">
        <v>3</v>
      </c>
      <c r="K209" s="1" t="s">
        <v>7</v>
      </c>
      <c r="R209" t="str">
        <f t="shared" si="16"/>
        <v>Ack</v>
      </c>
    </row>
    <row r="210" spans="1:18" hidden="1" x14ac:dyDescent="0.25">
      <c r="A210" s="3">
        <f t="shared" si="13"/>
        <v>44761.548376284722</v>
      </c>
      <c r="B210" s="8" t="str">
        <f t="shared" si="14"/>
        <v>→</v>
      </c>
      <c r="C210" s="11">
        <f t="shared" si="15"/>
        <v>0.114</v>
      </c>
      <c r="D210" s="2">
        <v>1658200179711</v>
      </c>
      <c r="E210" t="s">
        <v>0</v>
      </c>
      <c r="F210" s="1">
        <v>5</v>
      </c>
      <c r="G210" s="1">
        <v>21</v>
      </c>
      <c r="H210" s="1">
        <v>31</v>
      </c>
      <c r="I210" s="1">
        <v>9</v>
      </c>
      <c r="J210" s="1">
        <v>60</v>
      </c>
      <c r="K210" s="1" t="s">
        <v>11</v>
      </c>
      <c r="R210" t="str">
        <f t="shared" si="16"/>
        <v>PING FURNACE</v>
      </c>
    </row>
    <row r="211" spans="1:18" hidden="1" x14ac:dyDescent="0.25">
      <c r="A211" s="3">
        <f t="shared" si="13"/>
        <v>44761.548377268518</v>
      </c>
      <c r="B211" s="8" t="str">
        <f t="shared" si="14"/>
        <v>←</v>
      </c>
      <c r="C211" s="11">
        <f t="shared" si="15"/>
        <v>8.5000000000000006E-2</v>
      </c>
      <c r="D211" s="2">
        <v>1658200179796</v>
      </c>
      <c r="E211" t="s">
        <v>0</v>
      </c>
      <c r="F211" s="1">
        <v>5</v>
      </c>
      <c r="G211" s="1">
        <v>31</v>
      </c>
      <c r="H211" s="1">
        <v>21</v>
      </c>
      <c r="I211" s="1" t="s">
        <v>6</v>
      </c>
      <c r="J211" s="1">
        <v>3</v>
      </c>
      <c r="K211" s="1" t="s">
        <v>7</v>
      </c>
      <c r="R211" t="str">
        <f t="shared" si="16"/>
        <v>Ack</v>
      </c>
    </row>
    <row r="212" spans="1:18" hidden="1" x14ac:dyDescent="0.25">
      <c r="A212" s="3">
        <f t="shared" si="13"/>
        <v>44761.548380034721</v>
      </c>
      <c r="B212" s="8" t="str">
        <f t="shared" si="14"/>
        <v>→</v>
      </c>
      <c r="C212" s="11">
        <f t="shared" si="15"/>
        <v>0.23899999999999999</v>
      </c>
      <c r="D212" s="2">
        <v>1658200180035</v>
      </c>
      <c r="E212" t="s">
        <v>0</v>
      </c>
      <c r="F212" s="1" t="s">
        <v>3</v>
      </c>
      <c r="G212" s="1">
        <v>21</v>
      </c>
      <c r="H212" s="1">
        <v>31</v>
      </c>
      <c r="I212" s="1" t="s">
        <v>3</v>
      </c>
      <c r="J212" s="1" t="s">
        <v>6</v>
      </c>
      <c r="K212" s="1">
        <v>12</v>
      </c>
      <c r="L212" s="1">
        <v>24</v>
      </c>
      <c r="M212" s="1">
        <v>1</v>
      </c>
      <c r="N212" s="1">
        <v>0</v>
      </c>
      <c r="O212" s="1">
        <v>0</v>
      </c>
      <c r="P212" s="1" t="s">
        <v>63</v>
      </c>
      <c r="Q212" s="1">
        <v>72</v>
      </c>
      <c r="R212" t="str">
        <f t="shared" si="16"/>
        <v>TEMPERATURE INFO Set:18 Actual:18 Countdown:0</v>
      </c>
    </row>
    <row r="213" spans="1:18" hidden="1" x14ac:dyDescent="0.25">
      <c r="A213" s="3">
        <f t="shared" si="13"/>
        <v>44761.54838108796</v>
      </c>
      <c r="B213" s="8" t="str">
        <f t="shared" si="14"/>
        <v>←</v>
      </c>
      <c r="C213" s="11">
        <f t="shared" si="15"/>
        <v>9.0999999999999998E-2</v>
      </c>
      <c r="D213" s="2">
        <v>1658200180126</v>
      </c>
      <c r="E213" t="s">
        <v>0</v>
      </c>
      <c r="F213" s="1">
        <v>5</v>
      </c>
      <c r="G213" s="1">
        <v>31</v>
      </c>
      <c r="H213" s="1">
        <v>21</v>
      </c>
      <c r="I213" s="1" t="s">
        <v>6</v>
      </c>
      <c r="J213" s="1">
        <v>3</v>
      </c>
      <c r="K213" s="1" t="s">
        <v>7</v>
      </c>
      <c r="R213" t="str">
        <f t="shared" si="16"/>
        <v>Ack</v>
      </c>
    </row>
    <row r="214" spans="1:18" x14ac:dyDescent="0.25">
      <c r="A214" s="3">
        <f t="shared" si="13"/>
        <v>44761.548381932873</v>
      </c>
      <c r="B214" s="8" t="str">
        <f t="shared" si="14"/>
        <v>→</v>
      </c>
      <c r="C214" s="11">
        <f t="shared" si="15"/>
        <v>7.2999999999999995E-2</v>
      </c>
      <c r="D214" s="2">
        <v>1658200180199</v>
      </c>
      <c r="E214" t="s">
        <v>0</v>
      </c>
      <c r="F214" s="1">
        <v>6</v>
      </c>
      <c r="G214" s="1">
        <v>21</v>
      </c>
      <c r="H214" s="1">
        <v>31</v>
      </c>
      <c r="I214" s="1">
        <v>29</v>
      </c>
      <c r="J214" s="1">
        <v>0</v>
      </c>
      <c r="K214" s="1" t="s">
        <v>13</v>
      </c>
      <c r="L214" s="1" t="s">
        <v>14</v>
      </c>
      <c r="R214" t="str">
        <f t="shared" si="16"/>
        <v>LONG PING FURNACE</v>
      </c>
    </row>
    <row r="215" spans="1:18" hidden="1" x14ac:dyDescent="0.25">
      <c r="A215" s="3">
        <f t="shared" si="13"/>
        <v>44761.548383194437</v>
      </c>
      <c r="B215" s="8" t="str">
        <f t="shared" si="14"/>
        <v>←</v>
      </c>
      <c r="C215" s="11">
        <f t="shared" si="15"/>
        <v>0.109</v>
      </c>
      <c r="D215" s="2">
        <v>1658200180308</v>
      </c>
      <c r="E215" t="s">
        <v>0</v>
      </c>
      <c r="F215" s="1">
        <v>5</v>
      </c>
      <c r="G215" s="1">
        <v>31</v>
      </c>
      <c r="H215" s="1">
        <v>21</v>
      </c>
      <c r="I215" s="1" t="s">
        <v>6</v>
      </c>
      <c r="J215" s="1">
        <v>3</v>
      </c>
      <c r="K215" s="1" t="s">
        <v>7</v>
      </c>
      <c r="R215" t="str">
        <f t="shared" si="16"/>
        <v>Ack</v>
      </c>
    </row>
    <row r="216" spans="1:18" hidden="1" x14ac:dyDescent="0.25">
      <c r="A216" s="3">
        <f t="shared" si="13"/>
        <v>44761.548384317131</v>
      </c>
      <c r="B216" s="8" t="str">
        <f t="shared" si="14"/>
        <v>→</v>
      </c>
      <c r="C216" s="11">
        <f t="shared" si="15"/>
        <v>9.7000000000000003E-2</v>
      </c>
      <c r="D216" s="2">
        <v>1658200180405</v>
      </c>
      <c r="E216" t="s">
        <v>0</v>
      </c>
      <c r="F216" s="1">
        <v>5</v>
      </c>
      <c r="G216" s="1">
        <v>21</v>
      </c>
      <c r="H216" s="1">
        <v>31</v>
      </c>
      <c r="I216" s="1">
        <v>6</v>
      </c>
      <c r="J216" s="1">
        <v>60</v>
      </c>
      <c r="K216" s="1">
        <v>83</v>
      </c>
      <c r="R216" t="str">
        <f t="shared" si="16"/>
        <v>FURNACE STATUS REQUEST</v>
      </c>
    </row>
    <row r="217" spans="1:18" hidden="1" x14ac:dyDescent="0.25">
      <c r="A217" s="3">
        <f t="shared" si="13"/>
        <v>44761.548386064816</v>
      </c>
      <c r="B217" s="8" t="str">
        <f t="shared" si="14"/>
        <v>←</v>
      </c>
      <c r="C217" s="11">
        <f t="shared" si="15"/>
        <v>0.151</v>
      </c>
      <c r="D217" s="2">
        <v>1658200180556</v>
      </c>
      <c r="E217" t="s">
        <v>0</v>
      </c>
      <c r="F217" s="1">
        <v>9</v>
      </c>
      <c r="G217" s="1">
        <v>31</v>
      </c>
      <c r="H217" s="1">
        <v>21</v>
      </c>
      <c r="I217" s="1" t="s">
        <v>1</v>
      </c>
      <c r="J217" s="1">
        <v>0</v>
      </c>
      <c r="K217" s="1">
        <v>27</v>
      </c>
      <c r="L217" s="1">
        <v>0</v>
      </c>
      <c r="M217" s="1">
        <v>0</v>
      </c>
      <c r="N217" s="1" t="s">
        <v>2</v>
      </c>
      <c r="O217" s="1">
        <v>20</v>
      </c>
      <c r="R217" t="str">
        <f t="shared" si="16"/>
        <v>FURNACE STATUS RESPONSE Fan:1 Ignition:1 Burner:1 Unknown:20</v>
      </c>
    </row>
    <row r="218" spans="1:18" hidden="1" x14ac:dyDescent="0.25">
      <c r="A218" s="3">
        <f t="shared" si="13"/>
        <v>44761.549068194443</v>
      </c>
      <c r="B218" s="8" t="str">
        <f t="shared" si="14"/>
        <v>→</v>
      </c>
      <c r="C218" s="11">
        <f t="shared" si="15"/>
        <v>58.936</v>
      </c>
      <c r="D218" s="2">
        <v>1658200239492</v>
      </c>
      <c r="E218" t="s">
        <v>0</v>
      </c>
      <c r="F218" s="1">
        <v>8</v>
      </c>
      <c r="G218" s="1">
        <v>21</v>
      </c>
      <c r="H218" s="1">
        <v>31</v>
      </c>
      <c r="I218" s="1">
        <v>7</v>
      </c>
      <c r="J218" s="1" t="s">
        <v>70</v>
      </c>
      <c r="K218" s="1">
        <v>5</v>
      </c>
      <c r="L218" s="1">
        <v>1</v>
      </c>
      <c r="M218" s="1" t="s">
        <v>101</v>
      </c>
      <c r="N218" s="1" t="s">
        <v>109</v>
      </c>
      <c r="R218" t="str">
        <f t="shared" si="16"/>
        <v>TIME 13:5 Tue</v>
      </c>
    </row>
    <row r="219" spans="1:18" hidden="1" x14ac:dyDescent="0.25">
      <c r="A219" s="3">
        <f t="shared" si="13"/>
        <v>44761.549069710651</v>
      </c>
      <c r="B219" s="8" t="str">
        <f t="shared" si="14"/>
        <v>←</v>
      </c>
      <c r="C219" s="11">
        <f t="shared" si="15"/>
        <v>0.13100000000000001</v>
      </c>
      <c r="D219" s="2">
        <v>1658200239623</v>
      </c>
      <c r="E219" t="s">
        <v>0</v>
      </c>
      <c r="F219" s="1">
        <v>5</v>
      </c>
      <c r="G219" s="1">
        <v>31</v>
      </c>
      <c r="H219" s="1">
        <v>21</v>
      </c>
      <c r="I219" s="1" t="s">
        <v>6</v>
      </c>
      <c r="J219" s="1">
        <v>3</v>
      </c>
      <c r="K219" s="1" t="s">
        <v>7</v>
      </c>
      <c r="R219" t="str">
        <f t="shared" si="16"/>
        <v>Ack</v>
      </c>
    </row>
    <row r="220" spans="1:18" hidden="1" x14ac:dyDescent="0.25">
      <c r="A220" s="3">
        <f t="shared" si="13"/>
        <v>44761.549071041663</v>
      </c>
      <c r="B220" s="8" t="str">
        <f t="shared" si="14"/>
        <v>→</v>
      </c>
      <c r="C220" s="11">
        <f t="shared" si="15"/>
        <v>0.115</v>
      </c>
      <c r="D220" s="2">
        <v>1658200239738</v>
      </c>
      <c r="E220" t="s">
        <v>0</v>
      </c>
      <c r="F220" s="1">
        <v>5</v>
      </c>
      <c r="G220" s="1">
        <v>21</v>
      </c>
      <c r="H220" s="1">
        <v>31</v>
      </c>
      <c r="I220" s="1">
        <v>9</v>
      </c>
      <c r="J220" s="1">
        <v>60</v>
      </c>
      <c r="K220" s="1" t="s">
        <v>11</v>
      </c>
      <c r="R220" t="str">
        <f t="shared" si="16"/>
        <v>PING FURNACE</v>
      </c>
    </row>
    <row r="221" spans="1:18" hidden="1" x14ac:dyDescent="0.25">
      <c r="A221" s="3">
        <f t="shared" si="13"/>
        <v>44761.54907246527</v>
      </c>
      <c r="B221" s="8" t="str">
        <f t="shared" si="14"/>
        <v>←</v>
      </c>
      <c r="C221" s="11">
        <f t="shared" si="15"/>
        <v>0.123</v>
      </c>
      <c r="D221" s="2">
        <v>1658200239861</v>
      </c>
      <c r="E221" t="s">
        <v>0</v>
      </c>
      <c r="F221" s="1">
        <v>5</v>
      </c>
      <c r="G221" s="1">
        <v>31</v>
      </c>
      <c r="H221" s="1">
        <v>21</v>
      </c>
      <c r="I221" s="1" t="s">
        <v>6</v>
      </c>
      <c r="J221" s="1">
        <v>3</v>
      </c>
      <c r="K221" s="1" t="s">
        <v>7</v>
      </c>
      <c r="R221" t="str">
        <f t="shared" si="16"/>
        <v>Ack</v>
      </c>
    </row>
    <row r="222" spans="1:18" hidden="1" x14ac:dyDescent="0.25">
      <c r="A222" s="3">
        <f t="shared" si="13"/>
        <v>44761.549074155089</v>
      </c>
      <c r="B222" s="8" t="str">
        <f t="shared" si="14"/>
        <v>→</v>
      </c>
      <c r="C222" s="11">
        <f t="shared" si="15"/>
        <v>0.14599999999999999</v>
      </c>
      <c r="D222" s="2">
        <v>1658200240007</v>
      </c>
      <c r="E222" t="s">
        <v>0</v>
      </c>
      <c r="F222" s="1" t="s">
        <v>3</v>
      </c>
      <c r="G222" s="1">
        <v>21</v>
      </c>
      <c r="H222" s="1">
        <v>31</v>
      </c>
      <c r="I222" s="1" t="s">
        <v>3</v>
      </c>
      <c r="J222" s="1" t="s">
        <v>6</v>
      </c>
      <c r="K222" s="1">
        <v>12</v>
      </c>
      <c r="L222" s="1">
        <v>24</v>
      </c>
      <c r="M222" s="1">
        <v>1</v>
      </c>
      <c r="N222" s="1">
        <v>0</v>
      </c>
      <c r="O222" s="1">
        <v>0</v>
      </c>
      <c r="P222" s="1" t="s">
        <v>63</v>
      </c>
      <c r="Q222" s="1">
        <v>72</v>
      </c>
      <c r="R222" t="str">
        <f t="shared" si="16"/>
        <v>TEMPERATURE INFO Set:18 Actual:18 Countdown:0</v>
      </c>
    </row>
    <row r="223" spans="1:18" hidden="1" x14ac:dyDescent="0.25">
      <c r="A223" s="3">
        <f t="shared" si="13"/>
        <v>44761.54907533565</v>
      </c>
      <c r="B223" s="8" t="str">
        <f t="shared" si="14"/>
        <v>←</v>
      </c>
      <c r="C223" s="11">
        <f t="shared" si="15"/>
        <v>0.10199999999999999</v>
      </c>
      <c r="D223" s="2">
        <v>1658200240109</v>
      </c>
      <c r="E223" t="s">
        <v>0</v>
      </c>
      <c r="F223" s="1">
        <v>5</v>
      </c>
      <c r="G223" s="1">
        <v>31</v>
      </c>
      <c r="H223" s="1">
        <v>21</v>
      </c>
      <c r="I223" s="1" t="s">
        <v>6</v>
      </c>
      <c r="J223" s="1">
        <v>3</v>
      </c>
      <c r="K223" s="1" t="s">
        <v>7</v>
      </c>
      <c r="R223" t="str">
        <f t="shared" si="16"/>
        <v>Ack</v>
      </c>
    </row>
    <row r="224" spans="1:18" x14ac:dyDescent="0.25">
      <c r="A224" s="3">
        <f t="shared" si="13"/>
        <v>44761.549076585645</v>
      </c>
      <c r="B224" s="8" t="str">
        <f t="shared" si="14"/>
        <v>→</v>
      </c>
      <c r="C224" s="11">
        <f t="shared" si="15"/>
        <v>0.108</v>
      </c>
      <c r="D224" s="2">
        <v>1658200240217</v>
      </c>
      <c r="E224" t="s">
        <v>0</v>
      </c>
      <c r="F224" s="1">
        <v>6</v>
      </c>
      <c r="G224" s="1">
        <v>21</v>
      </c>
      <c r="H224" s="1">
        <v>31</v>
      </c>
      <c r="I224" s="1">
        <v>29</v>
      </c>
      <c r="J224" s="1">
        <v>0</v>
      </c>
      <c r="K224" s="1" t="s">
        <v>13</v>
      </c>
      <c r="L224" s="1" t="s">
        <v>14</v>
      </c>
      <c r="R224" t="str">
        <f t="shared" si="16"/>
        <v>LONG PING FURNACE</v>
      </c>
    </row>
    <row r="225" spans="1:18" hidden="1" x14ac:dyDescent="0.25">
      <c r="A225" s="3">
        <f t="shared" si="13"/>
        <v>44761.549077719908</v>
      </c>
      <c r="B225" s="8" t="str">
        <f t="shared" si="14"/>
        <v>←</v>
      </c>
      <c r="C225" s="11">
        <f t="shared" si="15"/>
        <v>9.8000000000000004E-2</v>
      </c>
      <c r="D225" s="2">
        <v>1658200240315</v>
      </c>
      <c r="E225" t="s">
        <v>0</v>
      </c>
      <c r="F225" s="1">
        <v>5</v>
      </c>
      <c r="G225" s="1">
        <v>31</v>
      </c>
      <c r="H225" s="1">
        <v>21</v>
      </c>
      <c r="I225" s="1" t="s">
        <v>6</v>
      </c>
      <c r="J225" s="1">
        <v>3</v>
      </c>
      <c r="K225" s="1" t="s">
        <v>7</v>
      </c>
      <c r="R225" t="str">
        <f t="shared" si="16"/>
        <v>Ack</v>
      </c>
    </row>
    <row r="226" spans="1:18" hidden="1" x14ac:dyDescent="0.25">
      <c r="A226" s="3">
        <f t="shared" ref="A226:A289" si="17">D226/(1000*60*60*24)+25569+10/24</f>
        <v>44761.549078900462</v>
      </c>
      <c r="B226" s="8" t="str">
        <f t="shared" ref="B226:B289" si="18">IF(AND(G226=21,H226=31),"→",IF(AND(G226=31,H226=21),"←","Error"))</f>
        <v>→</v>
      </c>
      <c r="C226" s="11">
        <f t="shared" ref="C226:C289" si="19">(D226-D225)/1000</f>
        <v>0.10199999999999999</v>
      </c>
      <c r="D226" s="2">
        <v>1658200240417</v>
      </c>
      <c r="E226" t="s">
        <v>0</v>
      </c>
      <c r="F226" s="1">
        <v>5</v>
      </c>
      <c r="G226" s="1">
        <v>21</v>
      </c>
      <c r="H226" s="1">
        <v>31</v>
      </c>
      <c r="I226" s="1">
        <v>6</v>
      </c>
      <c r="J226" s="1">
        <v>60</v>
      </c>
      <c r="K226" s="1">
        <v>83</v>
      </c>
      <c r="R226" t="str">
        <f t="shared" si="16"/>
        <v>FURNACE STATUS REQUEST</v>
      </c>
    </row>
    <row r="227" spans="1:18" hidden="1" x14ac:dyDescent="0.25">
      <c r="A227" s="3">
        <f t="shared" si="17"/>
        <v>44761.549080798613</v>
      </c>
      <c r="B227" s="8" t="str">
        <f t="shared" si="18"/>
        <v>←</v>
      </c>
      <c r="C227" s="11">
        <f t="shared" si="19"/>
        <v>0.16400000000000001</v>
      </c>
      <c r="D227" s="2">
        <v>1658200240581</v>
      </c>
      <c r="E227" t="s">
        <v>0</v>
      </c>
      <c r="F227" s="1">
        <v>9</v>
      </c>
      <c r="G227" s="1">
        <v>31</v>
      </c>
      <c r="H227" s="1">
        <v>21</v>
      </c>
      <c r="I227" s="1" t="s">
        <v>1</v>
      </c>
      <c r="J227" s="1">
        <v>0</v>
      </c>
      <c r="K227" s="1">
        <v>27</v>
      </c>
      <c r="L227" s="1">
        <v>0</v>
      </c>
      <c r="M227" s="1">
        <v>0</v>
      </c>
      <c r="N227" s="1" t="s">
        <v>2</v>
      </c>
      <c r="O227" s="1">
        <v>20</v>
      </c>
      <c r="R227" t="str">
        <f t="shared" si="16"/>
        <v>FURNACE STATUS RESPONSE Fan:1 Ignition:1 Burner:1 Unknown:20</v>
      </c>
    </row>
    <row r="228" spans="1:18" hidden="1" x14ac:dyDescent="0.25">
      <c r="A228" s="3">
        <f t="shared" si="17"/>
        <v>44761.549762766204</v>
      </c>
      <c r="B228" s="8" t="str">
        <f t="shared" si="18"/>
        <v>→</v>
      </c>
      <c r="C228" s="11">
        <f t="shared" si="19"/>
        <v>58.921999999999997</v>
      </c>
      <c r="D228" s="2">
        <v>1658200299503</v>
      </c>
      <c r="E228" t="s">
        <v>0</v>
      </c>
      <c r="F228" s="1">
        <v>8</v>
      </c>
      <c r="G228" s="1">
        <v>21</v>
      </c>
      <c r="H228" s="1">
        <v>31</v>
      </c>
      <c r="I228" s="1">
        <v>7</v>
      </c>
      <c r="J228" s="1" t="s">
        <v>70</v>
      </c>
      <c r="K228" s="1">
        <v>6</v>
      </c>
      <c r="L228" s="1">
        <v>1</v>
      </c>
      <c r="M228" s="1">
        <v>80</v>
      </c>
      <c r="N228" s="1" t="s">
        <v>109</v>
      </c>
      <c r="R228" t="str">
        <f t="shared" si="16"/>
        <v>TIME 13:6 Tue</v>
      </c>
    </row>
    <row r="229" spans="1:18" hidden="1" x14ac:dyDescent="0.25">
      <c r="A229" s="3">
        <f t="shared" si="17"/>
        <v>44761.549763923605</v>
      </c>
      <c r="B229" s="8" t="str">
        <f t="shared" si="18"/>
        <v>←</v>
      </c>
      <c r="C229" s="11">
        <f t="shared" si="19"/>
        <v>0.1</v>
      </c>
      <c r="D229" s="2">
        <v>1658200299603</v>
      </c>
      <c r="E229" t="s">
        <v>0</v>
      </c>
      <c r="F229" s="1">
        <v>5</v>
      </c>
      <c r="G229" s="1">
        <v>31</v>
      </c>
      <c r="H229" s="1">
        <v>21</v>
      </c>
      <c r="I229" s="1" t="s">
        <v>6</v>
      </c>
      <c r="J229" s="1">
        <v>3</v>
      </c>
      <c r="K229" s="1" t="s">
        <v>7</v>
      </c>
      <c r="R229" t="str">
        <f t="shared" si="16"/>
        <v>Ack</v>
      </c>
    </row>
    <row r="230" spans="1:18" hidden="1" x14ac:dyDescent="0.25">
      <c r="A230" s="3">
        <f t="shared" si="17"/>
        <v>44761.549765104166</v>
      </c>
      <c r="B230" s="8" t="str">
        <f t="shared" si="18"/>
        <v>→</v>
      </c>
      <c r="C230" s="11">
        <f t="shared" si="19"/>
        <v>0.10199999999999999</v>
      </c>
      <c r="D230" s="2">
        <v>1658200299705</v>
      </c>
      <c r="E230" t="s">
        <v>0</v>
      </c>
      <c r="F230" s="1">
        <v>5</v>
      </c>
      <c r="G230" s="1">
        <v>21</v>
      </c>
      <c r="H230" s="1">
        <v>31</v>
      </c>
      <c r="I230" s="1">
        <v>9</v>
      </c>
      <c r="J230" s="1">
        <v>60</v>
      </c>
      <c r="K230" s="1" t="s">
        <v>11</v>
      </c>
      <c r="R230" t="str">
        <f t="shared" si="16"/>
        <v>PING FURNACE</v>
      </c>
    </row>
    <row r="231" spans="1:18" hidden="1" x14ac:dyDescent="0.25">
      <c r="A231" s="3">
        <f t="shared" si="17"/>
        <v>44761.549766539349</v>
      </c>
      <c r="B231" s="8" t="str">
        <f t="shared" si="18"/>
        <v>←</v>
      </c>
      <c r="C231" s="11">
        <f t="shared" si="19"/>
        <v>0.124</v>
      </c>
      <c r="D231" s="2">
        <v>1658200299829</v>
      </c>
      <c r="E231" t="s">
        <v>0</v>
      </c>
      <c r="F231" s="1">
        <v>5</v>
      </c>
      <c r="G231" s="1">
        <v>31</v>
      </c>
      <c r="H231" s="1">
        <v>21</v>
      </c>
      <c r="I231" s="1" t="s">
        <v>6</v>
      </c>
      <c r="J231" s="1">
        <v>3</v>
      </c>
      <c r="K231" s="1" t="s">
        <v>7</v>
      </c>
      <c r="R231" t="str">
        <f t="shared" si="16"/>
        <v>Ack</v>
      </c>
    </row>
    <row r="232" spans="1:18" hidden="1" x14ac:dyDescent="0.25">
      <c r="A232" s="3">
        <f t="shared" si="17"/>
        <v>44761.54976829861</v>
      </c>
      <c r="B232" s="8" t="str">
        <f t="shared" si="18"/>
        <v>→</v>
      </c>
      <c r="C232" s="11">
        <f t="shared" si="19"/>
        <v>0.152</v>
      </c>
      <c r="D232" s="2">
        <v>1658200299981</v>
      </c>
      <c r="E232" t="s">
        <v>0</v>
      </c>
      <c r="F232" s="1" t="s">
        <v>3</v>
      </c>
      <c r="G232" s="1">
        <v>21</v>
      </c>
      <c r="H232" s="1">
        <v>31</v>
      </c>
      <c r="I232" s="1" t="s">
        <v>3</v>
      </c>
      <c r="J232" s="1" t="s">
        <v>6</v>
      </c>
      <c r="K232" s="1">
        <v>12</v>
      </c>
      <c r="L232" s="1">
        <v>24</v>
      </c>
      <c r="M232" s="1">
        <v>1</v>
      </c>
      <c r="N232" s="1">
        <v>0</v>
      </c>
      <c r="O232" s="1">
        <v>0</v>
      </c>
      <c r="P232" s="1" t="s">
        <v>63</v>
      </c>
      <c r="Q232" s="1">
        <v>72</v>
      </c>
      <c r="R232" t="str">
        <f t="shared" si="16"/>
        <v>TEMPERATURE INFO Set:18 Actual:18 Countdown:0</v>
      </c>
    </row>
    <row r="233" spans="1:18" hidden="1" x14ac:dyDescent="0.25">
      <c r="A233" s="3">
        <f t="shared" si="17"/>
        <v>44761.549769675919</v>
      </c>
      <c r="B233" s="8" t="str">
        <f t="shared" si="18"/>
        <v>←</v>
      </c>
      <c r="C233" s="11">
        <f t="shared" si="19"/>
        <v>0.11899999999999999</v>
      </c>
      <c r="D233" s="2">
        <v>1658200300100</v>
      </c>
      <c r="E233" t="s">
        <v>0</v>
      </c>
      <c r="F233" s="1">
        <v>5</v>
      </c>
      <c r="G233" s="1">
        <v>31</v>
      </c>
      <c r="H233" s="1">
        <v>21</v>
      </c>
      <c r="I233" s="1" t="s">
        <v>6</v>
      </c>
      <c r="J233" s="1">
        <v>3</v>
      </c>
      <c r="K233" s="1" t="s">
        <v>7</v>
      </c>
      <c r="R233" t="str">
        <f t="shared" si="16"/>
        <v>Ack</v>
      </c>
    </row>
    <row r="234" spans="1:18" x14ac:dyDescent="0.25">
      <c r="A234" s="3">
        <f t="shared" si="17"/>
        <v>44761.549770879625</v>
      </c>
      <c r="B234" s="8" t="str">
        <f t="shared" si="18"/>
        <v>→</v>
      </c>
      <c r="C234" s="11">
        <f t="shared" si="19"/>
        <v>0.104</v>
      </c>
      <c r="D234" s="2">
        <v>1658200300204</v>
      </c>
      <c r="E234" t="s">
        <v>0</v>
      </c>
      <c r="F234" s="1">
        <v>6</v>
      </c>
      <c r="G234" s="1">
        <v>21</v>
      </c>
      <c r="H234" s="1">
        <v>31</v>
      </c>
      <c r="I234" s="1">
        <v>29</v>
      </c>
      <c r="J234" s="1">
        <v>0</v>
      </c>
      <c r="K234" s="1" t="s">
        <v>13</v>
      </c>
      <c r="L234" s="1" t="s">
        <v>14</v>
      </c>
      <c r="R234" t="str">
        <f t="shared" si="16"/>
        <v>LONG PING FURNACE</v>
      </c>
    </row>
    <row r="235" spans="1:18" hidden="1" x14ac:dyDescent="0.25">
      <c r="A235" s="3">
        <f t="shared" si="17"/>
        <v>44761.549772256942</v>
      </c>
      <c r="B235" s="8" t="str">
        <f t="shared" si="18"/>
        <v>←</v>
      </c>
      <c r="C235" s="11">
        <f t="shared" si="19"/>
        <v>0.11899999999999999</v>
      </c>
      <c r="D235" s="2">
        <v>1658200300323</v>
      </c>
      <c r="E235" t="s">
        <v>0</v>
      </c>
      <c r="F235" s="1">
        <v>5</v>
      </c>
      <c r="G235" s="1">
        <v>31</v>
      </c>
      <c r="H235" s="1">
        <v>21</v>
      </c>
      <c r="I235" s="1" t="s">
        <v>6</v>
      </c>
      <c r="J235" s="1">
        <v>3</v>
      </c>
      <c r="K235" s="1" t="s">
        <v>7</v>
      </c>
      <c r="R235" t="str">
        <f t="shared" si="16"/>
        <v>Ack</v>
      </c>
    </row>
    <row r="236" spans="1:18" hidden="1" x14ac:dyDescent="0.25">
      <c r="A236" s="3">
        <f t="shared" si="17"/>
        <v>44761.549773483792</v>
      </c>
      <c r="B236" s="8" t="str">
        <f t="shared" si="18"/>
        <v>→</v>
      </c>
      <c r="C236" s="11">
        <f t="shared" si="19"/>
        <v>0.106</v>
      </c>
      <c r="D236" s="2">
        <v>1658200300429</v>
      </c>
      <c r="E236" t="s">
        <v>0</v>
      </c>
      <c r="F236" s="1">
        <v>5</v>
      </c>
      <c r="G236" s="1">
        <v>21</v>
      </c>
      <c r="H236" s="1">
        <v>31</v>
      </c>
      <c r="I236" s="1">
        <v>6</v>
      </c>
      <c r="J236" s="1">
        <v>60</v>
      </c>
      <c r="K236" s="1">
        <v>83</v>
      </c>
      <c r="R236" t="str">
        <f t="shared" si="16"/>
        <v>FURNACE STATUS REQUEST</v>
      </c>
    </row>
    <row r="237" spans="1:18" hidden="1" x14ac:dyDescent="0.25">
      <c r="A237" s="3">
        <f t="shared" si="17"/>
        <v>44761.54977489583</v>
      </c>
      <c r="B237" s="8" t="str">
        <f t="shared" si="18"/>
        <v>←</v>
      </c>
      <c r="C237" s="11">
        <f t="shared" si="19"/>
        <v>0.122</v>
      </c>
      <c r="D237" s="2">
        <v>1658200300551</v>
      </c>
      <c r="E237" t="s">
        <v>0</v>
      </c>
      <c r="F237" s="1">
        <v>9</v>
      </c>
      <c r="G237" s="1">
        <v>31</v>
      </c>
      <c r="H237" s="1">
        <v>21</v>
      </c>
      <c r="I237" s="1" t="s">
        <v>1</v>
      </c>
      <c r="J237" s="1">
        <v>0</v>
      </c>
      <c r="K237" s="1">
        <v>27</v>
      </c>
      <c r="L237" s="1">
        <v>0</v>
      </c>
      <c r="M237" s="1">
        <v>0</v>
      </c>
      <c r="N237" s="1" t="s">
        <v>2</v>
      </c>
      <c r="O237" s="1">
        <v>20</v>
      </c>
      <c r="R237" t="str">
        <f t="shared" si="16"/>
        <v>FURNACE STATUS RESPONSE Fan:1 Ignition:1 Burner:1 Unknown:20</v>
      </c>
    </row>
    <row r="238" spans="1:18" hidden="1" x14ac:dyDescent="0.25">
      <c r="A238" s="3">
        <f t="shared" si="17"/>
        <v>44761.550460740742</v>
      </c>
      <c r="B238" s="8" t="str">
        <f t="shared" si="18"/>
        <v>→</v>
      </c>
      <c r="C238" s="11">
        <f t="shared" si="19"/>
        <v>59.256999999999998</v>
      </c>
      <c r="D238" s="2">
        <v>1658200359808</v>
      </c>
      <c r="E238" t="s">
        <v>0</v>
      </c>
      <c r="F238" s="1">
        <v>8</v>
      </c>
      <c r="G238" s="1">
        <v>21</v>
      </c>
      <c r="H238" s="1">
        <v>31</v>
      </c>
      <c r="I238" s="1">
        <v>7</v>
      </c>
      <c r="J238" s="1" t="s">
        <v>70</v>
      </c>
      <c r="K238" s="1">
        <v>7</v>
      </c>
      <c r="L238" s="1">
        <v>1</v>
      </c>
      <c r="M238" s="1">
        <v>6</v>
      </c>
      <c r="N238" s="1" t="s">
        <v>57</v>
      </c>
      <c r="R238" t="str">
        <f t="shared" si="16"/>
        <v>TIME 13:7 Tue</v>
      </c>
    </row>
    <row r="239" spans="1:18" hidden="1" x14ac:dyDescent="0.25">
      <c r="A239" s="3">
        <f t="shared" si="17"/>
        <v>44761.550460868057</v>
      </c>
      <c r="B239" s="8" t="str">
        <f t="shared" si="18"/>
        <v>←</v>
      </c>
      <c r="C239" s="11">
        <f t="shared" si="19"/>
        <v>1.0999999999999999E-2</v>
      </c>
      <c r="D239" s="2">
        <v>1658200359819</v>
      </c>
      <c r="E239" t="s">
        <v>0</v>
      </c>
      <c r="F239" s="1">
        <v>5</v>
      </c>
      <c r="G239" s="1">
        <v>31</v>
      </c>
      <c r="H239" s="1">
        <v>21</v>
      </c>
      <c r="I239" s="1" t="s">
        <v>6</v>
      </c>
      <c r="J239" s="1">
        <v>3</v>
      </c>
      <c r="K239" s="1" t="s">
        <v>7</v>
      </c>
      <c r="R239" t="str">
        <f t="shared" si="16"/>
        <v>Ack</v>
      </c>
    </row>
    <row r="240" spans="1:18" hidden="1" x14ac:dyDescent="0.25">
      <c r="A240" s="3">
        <f t="shared" si="17"/>
        <v>44761.550460960651</v>
      </c>
      <c r="B240" s="8" t="str">
        <f t="shared" si="18"/>
        <v>→</v>
      </c>
      <c r="C240" s="11">
        <f t="shared" si="19"/>
        <v>8.0000000000000002E-3</v>
      </c>
      <c r="D240" s="2">
        <v>1658200359827</v>
      </c>
      <c r="E240" t="s">
        <v>0</v>
      </c>
      <c r="F240" s="1">
        <v>5</v>
      </c>
      <c r="G240" s="1">
        <v>21</v>
      </c>
      <c r="H240" s="1">
        <v>31</v>
      </c>
      <c r="I240" s="1">
        <v>9</v>
      </c>
      <c r="J240" s="1">
        <v>60</v>
      </c>
      <c r="K240" s="1" t="s">
        <v>11</v>
      </c>
      <c r="R240" t="str">
        <f t="shared" si="16"/>
        <v>PING FURNACE</v>
      </c>
    </row>
    <row r="241" spans="1:18" hidden="1" x14ac:dyDescent="0.25">
      <c r="A241" s="3">
        <f t="shared" si="17"/>
        <v>44761.550461064813</v>
      </c>
      <c r="B241" s="8" t="str">
        <f t="shared" si="18"/>
        <v>←</v>
      </c>
      <c r="C241" s="11">
        <f t="shared" si="19"/>
        <v>8.9999999999999993E-3</v>
      </c>
      <c r="D241" s="2">
        <v>1658200359836</v>
      </c>
      <c r="E241" t="s">
        <v>0</v>
      </c>
      <c r="F241" s="1">
        <v>5</v>
      </c>
      <c r="G241" s="1">
        <v>31</v>
      </c>
      <c r="H241" s="1">
        <v>21</v>
      </c>
      <c r="I241" s="1" t="s">
        <v>6</v>
      </c>
      <c r="J241" s="1">
        <v>3</v>
      </c>
      <c r="K241" s="1" t="s">
        <v>7</v>
      </c>
      <c r="R241" t="str">
        <f t="shared" si="16"/>
        <v>Ack</v>
      </c>
    </row>
    <row r="242" spans="1:18" hidden="1" x14ac:dyDescent="0.25">
      <c r="A242" s="3">
        <f t="shared" si="17"/>
        <v>44761.550462708336</v>
      </c>
      <c r="B242" s="8" t="str">
        <f t="shared" si="18"/>
        <v>→</v>
      </c>
      <c r="C242" s="11">
        <f t="shared" si="19"/>
        <v>0.14199999999999999</v>
      </c>
      <c r="D242" s="2">
        <v>1658200359978</v>
      </c>
      <c r="E242" t="s">
        <v>0</v>
      </c>
      <c r="F242" s="1" t="s">
        <v>3</v>
      </c>
      <c r="G242" s="1">
        <v>21</v>
      </c>
      <c r="H242" s="1">
        <v>31</v>
      </c>
      <c r="I242" s="1" t="s">
        <v>3</v>
      </c>
      <c r="J242" s="1" t="s">
        <v>6</v>
      </c>
      <c r="K242" s="1">
        <v>12</v>
      </c>
      <c r="L242" s="1">
        <v>24</v>
      </c>
      <c r="M242" s="1">
        <v>1</v>
      </c>
      <c r="N242" s="1">
        <v>0</v>
      </c>
      <c r="O242" s="1">
        <v>0</v>
      </c>
      <c r="P242" s="1" t="s">
        <v>63</v>
      </c>
      <c r="Q242" s="1">
        <v>72</v>
      </c>
      <c r="R242" t="str">
        <f t="shared" si="16"/>
        <v>TEMPERATURE INFO Set:18 Actual:18 Countdown:0</v>
      </c>
    </row>
    <row r="243" spans="1:18" hidden="1" x14ac:dyDescent="0.25">
      <c r="A243" s="3">
        <f t="shared" si="17"/>
        <v>44761.550464004627</v>
      </c>
      <c r="B243" s="8" t="str">
        <f t="shared" si="18"/>
        <v>←</v>
      </c>
      <c r="C243" s="11">
        <f t="shared" si="19"/>
        <v>0.112</v>
      </c>
      <c r="D243" s="2">
        <v>1658200360090</v>
      </c>
      <c r="E243" t="s">
        <v>0</v>
      </c>
      <c r="F243" s="1">
        <v>5</v>
      </c>
      <c r="G243" s="1">
        <v>31</v>
      </c>
      <c r="H243" s="1">
        <v>21</v>
      </c>
      <c r="I243" s="1" t="s">
        <v>6</v>
      </c>
      <c r="J243" s="1">
        <v>3</v>
      </c>
      <c r="K243" s="1" t="s">
        <v>7</v>
      </c>
      <c r="R243" t="str">
        <f t="shared" si="16"/>
        <v>Ack</v>
      </c>
    </row>
    <row r="244" spans="1:18" x14ac:dyDescent="0.25">
      <c r="A244" s="3">
        <f t="shared" si="17"/>
        <v>44761.550465312503</v>
      </c>
      <c r="B244" s="8" t="str">
        <f t="shared" si="18"/>
        <v>→</v>
      </c>
      <c r="C244" s="11">
        <f t="shared" si="19"/>
        <v>0.113</v>
      </c>
      <c r="D244" s="2">
        <v>1658200360203</v>
      </c>
      <c r="E244" t="s">
        <v>0</v>
      </c>
      <c r="F244" s="1">
        <v>6</v>
      </c>
      <c r="G244" s="1">
        <v>21</v>
      </c>
      <c r="H244" s="1">
        <v>31</v>
      </c>
      <c r="I244" s="1">
        <v>29</v>
      </c>
      <c r="J244" s="1">
        <v>0</v>
      </c>
      <c r="K244" s="1" t="s">
        <v>13</v>
      </c>
      <c r="L244" s="1" t="s">
        <v>14</v>
      </c>
      <c r="R244" t="str">
        <f t="shared" si="16"/>
        <v>LONG PING FURNACE</v>
      </c>
    </row>
    <row r="245" spans="1:18" hidden="1" x14ac:dyDescent="0.25">
      <c r="A245" s="3">
        <f t="shared" si="17"/>
        <v>44761.550466550929</v>
      </c>
      <c r="B245" s="8" t="str">
        <f t="shared" si="18"/>
        <v>←</v>
      </c>
      <c r="C245" s="11">
        <f t="shared" si="19"/>
        <v>0.107</v>
      </c>
      <c r="D245" s="2">
        <v>1658200360310</v>
      </c>
      <c r="E245" t="s">
        <v>0</v>
      </c>
      <c r="F245" s="1">
        <v>5</v>
      </c>
      <c r="G245" s="1">
        <v>31</v>
      </c>
      <c r="H245" s="1">
        <v>21</v>
      </c>
      <c r="I245" s="1" t="s">
        <v>6</v>
      </c>
      <c r="J245" s="1">
        <v>3</v>
      </c>
      <c r="K245" s="1" t="s">
        <v>7</v>
      </c>
      <c r="R245" t="str">
        <f t="shared" si="16"/>
        <v>Ack</v>
      </c>
    </row>
    <row r="246" spans="1:18" hidden="1" x14ac:dyDescent="0.25">
      <c r="A246" s="3">
        <f t="shared" si="17"/>
        <v>44761.550467627312</v>
      </c>
      <c r="B246" s="8" t="str">
        <f t="shared" si="18"/>
        <v>→</v>
      </c>
      <c r="C246" s="11">
        <f t="shared" si="19"/>
        <v>9.2999999999999999E-2</v>
      </c>
      <c r="D246" s="2">
        <v>1658200360403</v>
      </c>
      <c r="E246" t="s">
        <v>0</v>
      </c>
      <c r="F246" s="1">
        <v>5</v>
      </c>
      <c r="G246" s="1">
        <v>21</v>
      </c>
      <c r="H246" s="1">
        <v>31</v>
      </c>
      <c r="I246" s="1">
        <v>6</v>
      </c>
      <c r="J246" s="1">
        <v>60</v>
      </c>
      <c r="K246" s="1">
        <v>83</v>
      </c>
      <c r="R246" t="str">
        <f t="shared" si="16"/>
        <v>FURNACE STATUS REQUEST</v>
      </c>
    </row>
    <row r="247" spans="1:18" hidden="1" x14ac:dyDescent="0.25">
      <c r="A247" s="3">
        <f t="shared" si="17"/>
        <v>44761.550469571761</v>
      </c>
      <c r="B247" s="8" t="str">
        <f t="shared" si="18"/>
        <v>←</v>
      </c>
      <c r="C247" s="11">
        <f t="shared" si="19"/>
        <v>0.16800000000000001</v>
      </c>
      <c r="D247" s="2">
        <v>1658200360571</v>
      </c>
      <c r="E247" t="s">
        <v>0</v>
      </c>
      <c r="F247" s="1">
        <v>9</v>
      </c>
      <c r="G247" s="1">
        <v>31</v>
      </c>
      <c r="H247" s="1">
        <v>21</v>
      </c>
      <c r="I247" s="1" t="s">
        <v>1</v>
      </c>
      <c r="J247" s="1">
        <v>0</v>
      </c>
      <c r="K247" s="1">
        <v>27</v>
      </c>
      <c r="L247" s="1">
        <v>0</v>
      </c>
      <c r="M247" s="1">
        <v>0</v>
      </c>
      <c r="N247" s="1" t="s">
        <v>2</v>
      </c>
      <c r="O247" s="1">
        <v>20</v>
      </c>
      <c r="R247" t="str">
        <f t="shared" si="16"/>
        <v>FURNACE STATUS RESPONSE Fan:1 Ignition:1 Burner:1 Unknown:20</v>
      </c>
    </row>
    <row r="248" spans="1:18" hidden="1" x14ac:dyDescent="0.25">
      <c r="A248" s="3">
        <f t="shared" si="17"/>
        <v>44761.551151793981</v>
      </c>
      <c r="B248" s="8" t="str">
        <f t="shared" si="18"/>
        <v>→</v>
      </c>
      <c r="C248" s="11">
        <f t="shared" si="19"/>
        <v>58.944000000000003</v>
      </c>
      <c r="D248" s="2">
        <v>1658200419515</v>
      </c>
      <c r="E248" t="s">
        <v>0</v>
      </c>
      <c r="F248" s="1">
        <v>8</v>
      </c>
      <c r="G248" s="1">
        <v>21</v>
      </c>
      <c r="H248" s="1">
        <v>31</v>
      </c>
      <c r="I248" s="1">
        <v>7</v>
      </c>
      <c r="J248" s="1" t="s">
        <v>70</v>
      </c>
      <c r="K248" s="1">
        <v>8</v>
      </c>
      <c r="L248" s="1">
        <v>1</v>
      </c>
      <c r="M248" s="1">
        <v>24</v>
      </c>
      <c r="N248" s="1" t="s">
        <v>57</v>
      </c>
      <c r="R248" t="str">
        <f t="shared" si="16"/>
        <v>TIME 13:8 Tue</v>
      </c>
    </row>
    <row r="249" spans="1:18" hidden="1" x14ac:dyDescent="0.25">
      <c r="A249" s="3">
        <f t="shared" si="17"/>
        <v>44761.551152986103</v>
      </c>
      <c r="B249" s="8" t="str">
        <f t="shared" si="18"/>
        <v>←</v>
      </c>
      <c r="C249" s="11">
        <f t="shared" si="19"/>
        <v>0.10299999999999999</v>
      </c>
      <c r="D249" s="2">
        <v>1658200419618</v>
      </c>
      <c r="E249" t="s">
        <v>0</v>
      </c>
      <c r="F249" s="1">
        <v>5</v>
      </c>
      <c r="G249" s="1">
        <v>31</v>
      </c>
      <c r="H249" s="1">
        <v>21</v>
      </c>
      <c r="I249" s="1" t="s">
        <v>6</v>
      </c>
      <c r="J249" s="1">
        <v>3</v>
      </c>
      <c r="K249" s="1" t="s">
        <v>7</v>
      </c>
      <c r="R249" t="str">
        <f t="shared" si="16"/>
        <v>Ack</v>
      </c>
    </row>
    <row r="250" spans="1:18" hidden="1" x14ac:dyDescent="0.25">
      <c r="A250" s="3">
        <f t="shared" si="17"/>
        <v>44761.551154259258</v>
      </c>
      <c r="B250" s="8" t="str">
        <f t="shared" si="18"/>
        <v>→</v>
      </c>
      <c r="C250" s="11">
        <f t="shared" si="19"/>
        <v>0.11</v>
      </c>
      <c r="D250" s="2">
        <v>1658200419728</v>
      </c>
      <c r="E250" t="s">
        <v>0</v>
      </c>
      <c r="F250" s="1">
        <v>5</v>
      </c>
      <c r="G250" s="1">
        <v>21</v>
      </c>
      <c r="H250" s="1">
        <v>31</v>
      </c>
      <c r="I250" s="1">
        <v>9</v>
      </c>
      <c r="J250" s="1">
        <v>60</v>
      </c>
      <c r="K250" s="1" t="s">
        <v>11</v>
      </c>
      <c r="R250" t="str">
        <f t="shared" si="16"/>
        <v>PING FURNACE</v>
      </c>
    </row>
    <row r="251" spans="1:18" hidden="1" x14ac:dyDescent="0.25">
      <c r="A251" s="3">
        <f t="shared" si="17"/>
        <v>44761.551155474539</v>
      </c>
      <c r="B251" s="8" t="str">
        <f t="shared" si="18"/>
        <v>←</v>
      </c>
      <c r="C251" s="11">
        <f t="shared" si="19"/>
        <v>0.105</v>
      </c>
      <c r="D251" s="2">
        <v>1658200419833</v>
      </c>
      <c r="E251" t="s">
        <v>0</v>
      </c>
      <c r="F251" s="1">
        <v>5</v>
      </c>
      <c r="G251" s="1">
        <v>31</v>
      </c>
      <c r="H251" s="1">
        <v>21</v>
      </c>
      <c r="I251" s="1" t="s">
        <v>6</v>
      </c>
      <c r="J251" s="1">
        <v>3</v>
      </c>
      <c r="K251" s="1" t="s">
        <v>7</v>
      </c>
      <c r="R251" t="str">
        <f t="shared" si="16"/>
        <v>Ack</v>
      </c>
    </row>
    <row r="252" spans="1:18" hidden="1" x14ac:dyDescent="0.25">
      <c r="A252" s="3">
        <f t="shared" si="17"/>
        <v>44761.551157349539</v>
      </c>
      <c r="B252" s="8" t="str">
        <f t="shared" si="18"/>
        <v>→</v>
      </c>
      <c r="C252" s="11">
        <f t="shared" si="19"/>
        <v>0.16200000000000001</v>
      </c>
      <c r="D252" s="2">
        <v>1658200419995</v>
      </c>
      <c r="E252" t="s">
        <v>0</v>
      </c>
      <c r="F252" s="1" t="s">
        <v>3</v>
      </c>
      <c r="G252" s="1">
        <v>21</v>
      </c>
      <c r="H252" s="1">
        <v>31</v>
      </c>
      <c r="I252" s="1" t="s">
        <v>3</v>
      </c>
      <c r="J252" s="1" t="s">
        <v>6</v>
      </c>
      <c r="K252" s="1">
        <v>12</v>
      </c>
      <c r="L252" s="1">
        <v>24</v>
      </c>
      <c r="M252" s="1">
        <v>1</v>
      </c>
      <c r="N252" s="1">
        <v>0</v>
      </c>
      <c r="O252" s="1">
        <v>0</v>
      </c>
      <c r="P252" s="1" t="s">
        <v>63</v>
      </c>
      <c r="Q252" s="1">
        <v>72</v>
      </c>
      <c r="R252" t="str">
        <f t="shared" si="16"/>
        <v>TEMPERATURE INFO Set:18 Actual:18 Countdown:0</v>
      </c>
    </row>
    <row r="253" spans="1:18" hidden="1" x14ac:dyDescent="0.25">
      <c r="A253" s="3">
        <f t="shared" si="17"/>
        <v>44761.55115875</v>
      </c>
      <c r="B253" s="8" t="str">
        <f t="shared" si="18"/>
        <v>←</v>
      </c>
      <c r="C253" s="11">
        <f t="shared" si="19"/>
        <v>0.121</v>
      </c>
      <c r="D253" s="2">
        <v>1658200420116</v>
      </c>
      <c r="E253" t="s">
        <v>0</v>
      </c>
      <c r="F253" s="1">
        <v>5</v>
      </c>
      <c r="G253" s="1">
        <v>31</v>
      </c>
      <c r="H253" s="1">
        <v>21</v>
      </c>
      <c r="I253" s="1" t="s">
        <v>6</v>
      </c>
      <c r="J253" s="1">
        <v>3</v>
      </c>
      <c r="K253" s="1" t="s">
        <v>7</v>
      </c>
      <c r="R253" t="str">
        <f t="shared" si="16"/>
        <v>Ack</v>
      </c>
    </row>
    <row r="254" spans="1:18" x14ac:dyDescent="0.25">
      <c r="A254" s="3">
        <f t="shared" si="17"/>
        <v>44761.55116008102</v>
      </c>
      <c r="B254" s="8" t="str">
        <f t="shared" si="18"/>
        <v>→</v>
      </c>
      <c r="C254" s="11">
        <f t="shared" si="19"/>
        <v>0.115</v>
      </c>
      <c r="D254" s="2">
        <v>1658200420231</v>
      </c>
      <c r="E254" t="s">
        <v>0</v>
      </c>
      <c r="F254" s="1">
        <v>6</v>
      </c>
      <c r="G254" s="1">
        <v>21</v>
      </c>
      <c r="H254" s="1">
        <v>31</v>
      </c>
      <c r="I254" s="1">
        <v>29</v>
      </c>
      <c r="J254" s="1">
        <v>0</v>
      </c>
      <c r="K254" s="1" t="s">
        <v>13</v>
      </c>
      <c r="L254" s="1" t="s">
        <v>14</v>
      </c>
      <c r="R254" t="str">
        <f t="shared" si="16"/>
        <v>LONG PING FURNACE</v>
      </c>
    </row>
    <row r="255" spans="1:18" hidden="1" x14ac:dyDescent="0.25">
      <c r="A255" s="3">
        <f t="shared" si="17"/>
        <v>44761.551161215277</v>
      </c>
      <c r="B255" s="8" t="str">
        <f t="shared" si="18"/>
        <v>←</v>
      </c>
      <c r="C255" s="11">
        <f t="shared" si="19"/>
        <v>9.8000000000000004E-2</v>
      </c>
      <c r="D255" s="2">
        <v>1658200420329</v>
      </c>
      <c r="E255" t="s">
        <v>0</v>
      </c>
      <c r="F255" s="1">
        <v>5</v>
      </c>
      <c r="G255" s="1">
        <v>31</v>
      </c>
      <c r="H255" s="1">
        <v>21</v>
      </c>
      <c r="I255" s="1" t="s">
        <v>6</v>
      </c>
      <c r="J255" s="1">
        <v>3</v>
      </c>
      <c r="K255" s="1" t="s">
        <v>7</v>
      </c>
      <c r="R255" t="str">
        <f t="shared" si="16"/>
        <v>Ack</v>
      </c>
    </row>
    <row r="256" spans="1:18" hidden="1" x14ac:dyDescent="0.25">
      <c r="A256" s="3">
        <f t="shared" si="17"/>
        <v>44761.55116239583</v>
      </c>
      <c r="B256" s="8" t="str">
        <f t="shared" si="18"/>
        <v>→</v>
      </c>
      <c r="C256" s="11">
        <f t="shared" si="19"/>
        <v>0.10199999999999999</v>
      </c>
      <c r="D256" s="2">
        <v>1658200420431</v>
      </c>
      <c r="E256" t="s">
        <v>0</v>
      </c>
      <c r="F256" s="1">
        <v>5</v>
      </c>
      <c r="G256" s="1">
        <v>21</v>
      </c>
      <c r="H256" s="1">
        <v>31</v>
      </c>
      <c r="I256" s="1">
        <v>6</v>
      </c>
      <c r="J256" s="1">
        <v>60</v>
      </c>
      <c r="K256" s="1">
        <v>83</v>
      </c>
      <c r="R256" t="str">
        <f t="shared" si="16"/>
        <v>FURNACE STATUS REQUEST</v>
      </c>
    </row>
    <row r="257" spans="1:18" hidden="1" x14ac:dyDescent="0.25">
      <c r="A257" s="3">
        <f t="shared" si="17"/>
        <v>44761.551164131939</v>
      </c>
      <c r="B257" s="8" t="str">
        <f t="shared" si="18"/>
        <v>←</v>
      </c>
      <c r="C257" s="11">
        <f t="shared" si="19"/>
        <v>0.15</v>
      </c>
      <c r="D257" s="2">
        <v>1658200420581</v>
      </c>
      <c r="E257" t="s">
        <v>0</v>
      </c>
      <c r="F257" s="1">
        <v>9</v>
      </c>
      <c r="G257" s="1">
        <v>31</v>
      </c>
      <c r="H257" s="1">
        <v>21</v>
      </c>
      <c r="I257" s="1" t="s">
        <v>1</v>
      </c>
      <c r="J257" s="1">
        <v>0</v>
      </c>
      <c r="K257" s="1">
        <v>27</v>
      </c>
      <c r="L257" s="1">
        <v>0</v>
      </c>
      <c r="M257" s="1">
        <v>0</v>
      </c>
      <c r="N257" s="1" t="s">
        <v>2</v>
      </c>
      <c r="O257" s="1">
        <v>20</v>
      </c>
      <c r="R257" t="str">
        <f t="shared" si="16"/>
        <v>FURNACE STATUS RESPONSE Fan:1 Ignition:1 Burner:1 Unknown:20</v>
      </c>
    </row>
    <row r="258" spans="1:18" hidden="1" x14ac:dyDescent="0.25">
      <c r="A258" s="3">
        <f t="shared" si="17"/>
        <v>44761.551846134258</v>
      </c>
      <c r="B258" s="8" t="str">
        <f t="shared" si="18"/>
        <v>→</v>
      </c>
      <c r="C258" s="11">
        <f t="shared" si="19"/>
        <v>58.924999999999997</v>
      </c>
      <c r="D258" s="2">
        <v>1658200479506</v>
      </c>
      <c r="E258" t="s">
        <v>0</v>
      </c>
      <c r="F258" s="1">
        <v>8</v>
      </c>
      <c r="G258" s="1">
        <v>21</v>
      </c>
      <c r="H258" s="1">
        <v>31</v>
      </c>
      <c r="I258" s="1">
        <v>7</v>
      </c>
      <c r="J258" s="1" t="s">
        <v>70</v>
      </c>
      <c r="K258" s="1">
        <v>9</v>
      </c>
      <c r="L258" s="1">
        <v>1</v>
      </c>
      <c r="M258" s="1" t="s">
        <v>102</v>
      </c>
      <c r="N258" s="1" t="s">
        <v>109</v>
      </c>
      <c r="R258" t="str">
        <f t="shared" si="16"/>
        <v>TIME 13:9 Tue</v>
      </c>
    </row>
    <row r="259" spans="1:18" hidden="1" x14ac:dyDescent="0.25">
      <c r="A259" s="3">
        <f t="shared" si="17"/>
        <v>44761.55184763889</v>
      </c>
      <c r="B259" s="8" t="str">
        <f t="shared" si="18"/>
        <v>←</v>
      </c>
      <c r="C259" s="11">
        <f t="shared" si="19"/>
        <v>0.13</v>
      </c>
      <c r="D259" s="2">
        <v>1658200479636</v>
      </c>
      <c r="E259" t="s">
        <v>0</v>
      </c>
      <c r="F259" s="1">
        <v>5</v>
      </c>
      <c r="G259" s="1">
        <v>31</v>
      </c>
      <c r="H259" s="1">
        <v>21</v>
      </c>
      <c r="I259" s="1" t="s">
        <v>6</v>
      </c>
      <c r="J259" s="1">
        <v>3</v>
      </c>
      <c r="K259" s="1" t="s">
        <v>7</v>
      </c>
      <c r="R259" t="str">
        <f t="shared" ref="R259:R322" si="20">IF(E259="Ok",_xlfn.SWITCH(I259,5,"FURNACE STATUS REPORT Fan:"&amp;IF(_xlfn.BITAND(HEX2DEC(K259),1),"1","0")&amp;" Ignition:"&amp;IF(_xlfn.BITAND(HEX2DEC(K259),2),"1","0")&amp;" Burner:"&amp;IF(_xlfn.BITAND(HEX2DEC(K259),4),"1","0")&amp;" Unknown:"&amp;DEC2HEX(_xlfn.BITAND(HEX2DEC(K259),248)),6,"FURNACE STATUS REQUEST",7,"TIME "&amp;HEX2DEC(J259)&amp;":"&amp;HEX2DEC(K259)&amp;" "&amp;CHOOSE(L259+1,"Mon","Tue","Wed","Thu","Fri","Sat","Sun"),9,"PING FURNACE","0B","TEMPERATURE INFO Set:"&amp;HEX2DEC(K259)&amp;" Actual:"&amp;HEX2DEC(L259)/2&amp;" Countdown:"&amp;HEX2DEC(N259),29,"LONG PING FURNACE","FB","FURNACE STATUS RESPONSE Fan:"&amp;IF(_xlfn.BITAND(HEX2DEC(K259),1),"1","0")&amp;" Ignition:"&amp;IF(_xlfn.BITAND(HEX2DEC(K259),2),"1","0")&amp;" Burner:"&amp;IF(_xlfn.BITAND(HEX2DEC(K259),4),"1","0")&amp;" Unknown:"&amp;DEC2HEX(_xlfn.BITAND(HEX2DEC(K259),248)),"FF","Ack"),"")</f>
        <v>Ack</v>
      </c>
    </row>
    <row r="260" spans="1:18" hidden="1" x14ac:dyDescent="0.25">
      <c r="A260" s="3">
        <f t="shared" si="17"/>
        <v>44761.551848900461</v>
      </c>
      <c r="B260" s="8" t="str">
        <f t="shared" si="18"/>
        <v>→</v>
      </c>
      <c r="C260" s="11">
        <f t="shared" si="19"/>
        <v>0.109</v>
      </c>
      <c r="D260" s="2">
        <v>1658200479745</v>
      </c>
      <c r="E260" t="s">
        <v>0</v>
      </c>
      <c r="F260" s="1">
        <v>5</v>
      </c>
      <c r="G260" s="1">
        <v>21</v>
      </c>
      <c r="H260" s="1">
        <v>31</v>
      </c>
      <c r="I260" s="1">
        <v>9</v>
      </c>
      <c r="J260" s="1">
        <v>60</v>
      </c>
      <c r="K260" s="1" t="s">
        <v>11</v>
      </c>
      <c r="R260" t="str">
        <f t="shared" si="20"/>
        <v>PING FURNACE</v>
      </c>
    </row>
    <row r="261" spans="1:18" hidden="1" x14ac:dyDescent="0.25">
      <c r="A261" s="3">
        <f t="shared" si="17"/>
        <v>44761.551850995369</v>
      </c>
      <c r="B261" s="8" t="str">
        <f t="shared" si="18"/>
        <v>←</v>
      </c>
      <c r="C261" s="11">
        <f t="shared" si="19"/>
        <v>0.18099999999999999</v>
      </c>
      <c r="D261" s="2">
        <v>1658200479926</v>
      </c>
      <c r="E261" t="s">
        <v>0</v>
      </c>
      <c r="F261" s="1">
        <v>5</v>
      </c>
      <c r="G261" s="1">
        <v>31</v>
      </c>
      <c r="H261" s="1">
        <v>21</v>
      </c>
      <c r="I261" s="1" t="s">
        <v>6</v>
      </c>
      <c r="J261" s="1">
        <v>3</v>
      </c>
      <c r="K261" s="1" t="s">
        <v>7</v>
      </c>
      <c r="R261" t="str">
        <f t="shared" si="20"/>
        <v>Ack</v>
      </c>
    </row>
    <row r="262" spans="1:18" hidden="1" x14ac:dyDescent="0.25">
      <c r="A262" s="3">
        <f t="shared" si="17"/>
        <v>44761.551852615739</v>
      </c>
      <c r="B262" s="8" t="str">
        <f t="shared" si="18"/>
        <v>→</v>
      </c>
      <c r="C262" s="11">
        <f t="shared" si="19"/>
        <v>0.14000000000000001</v>
      </c>
      <c r="D262" s="2">
        <v>1658200480066</v>
      </c>
      <c r="E262" t="s">
        <v>0</v>
      </c>
      <c r="F262" s="1" t="s">
        <v>3</v>
      </c>
      <c r="G262" s="1">
        <v>21</v>
      </c>
      <c r="H262" s="1">
        <v>31</v>
      </c>
      <c r="I262" s="1" t="s">
        <v>3</v>
      </c>
      <c r="J262" s="1" t="s">
        <v>6</v>
      </c>
      <c r="K262" s="1">
        <v>12</v>
      </c>
      <c r="L262" s="1">
        <v>24</v>
      </c>
      <c r="M262" s="1">
        <v>1</v>
      </c>
      <c r="N262" s="1">
        <v>0</v>
      </c>
      <c r="O262" s="1">
        <v>0</v>
      </c>
      <c r="P262" s="1" t="s">
        <v>63</v>
      </c>
      <c r="Q262" s="1">
        <v>72</v>
      </c>
      <c r="R262" t="str">
        <f t="shared" si="20"/>
        <v>TEMPERATURE INFO Set:18 Actual:18 Countdown:0</v>
      </c>
    </row>
    <row r="263" spans="1:18" hidden="1" x14ac:dyDescent="0.25">
      <c r="A263" s="3">
        <f t="shared" si="17"/>
        <v>44761.551853784717</v>
      </c>
      <c r="B263" s="8" t="str">
        <f t="shared" si="18"/>
        <v>←</v>
      </c>
      <c r="C263" s="11">
        <f t="shared" si="19"/>
        <v>0.10100000000000001</v>
      </c>
      <c r="D263" s="2">
        <v>1658200480167</v>
      </c>
      <c r="E263" t="s">
        <v>0</v>
      </c>
      <c r="F263" s="1">
        <v>5</v>
      </c>
      <c r="G263" s="1">
        <v>31</v>
      </c>
      <c r="H263" s="1">
        <v>21</v>
      </c>
      <c r="I263" s="1" t="s">
        <v>6</v>
      </c>
      <c r="J263" s="1">
        <v>3</v>
      </c>
      <c r="K263" s="1" t="s">
        <v>7</v>
      </c>
      <c r="R263" t="str">
        <f t="shared" si="20"/>
        <v>Ack</v>
      </c>
    </row>
    <row r="264" spans="1:18" x14ac:dyDescent="0.25">
      <c r="A264" s="3">
        <f t="shared" si="17"/>
        <v>44761.551855081016</v>
      </c>
      <c r="B264" s="8" t="str">
        <f t="shared" si="18"/>
        <v>→</v>
      </c>
      <c r="C264" s="11">
        <f t="shared" si="19"/>
        <v>0.112</v>
      </c>
      <c r="D264" s="2">
        <v>1658200480279</v>
      </c>
      <c r="E264" t="s">
        <v>0</v>
      </c>
      <c r="F264" s="1">
        <v>6</v>
      </c>
      <c r="G264" s="1">
        <v>21</v>
      </c>
      <c r="H264" s="1">
        <v>31</v>
      </c>
      <c r="I264" s="1">
        <v>29</v>
      </c>
      <c r="J264" s="1">
        <v>0</v>
      </c>
      <c r="K264" s="1" t="s">
        <v>13</v>
      </c>
      <c r="L264" s="1" t="s">
        <v>14</v>
      </c>
      <c r="R264" t="str">
        <f t="shared" si="20"/>
        <v>LONG PING FURNACE</v>
      </c>
    </row>
    <row r="265" spans="1:18" hidden="1" x14ac:dyDescent="0.25">
      <c r="A265" s="3">
        <f t="shared" si="17"/>
        <v>44761.55185614583</v>
      </c>
      <c r="B265" s="8" t="str">
        <f t="shared" si="18"/>
        <v>←</v>
      </c>
      <c r="C265" s="11">
        <f t="shared" si="19"/>
        <v>9.1999999999999998E-2</v>
      </c>
      <c r="D265" s="2">
        <v>1658200480371</v>
      </c>
      <c r="E265" t="s">
        <v>0</v>
      </c>
      <c r="F265" s="1">
        <v>5</v>
      </c>
      <c r="G265" s="1">
        <v>31</v>
      </c>
      <c r="H265" s="1">
        <v>21</v>
      </c>
      <c r="I265" s="1" t="s">
        <v>6</v>
      </c>
      <c r="J265" s="1">
        <v>3</v>
      </c>
      <c r="K265" s="1" t="s">
        <v>7</v>
      </c>
      <c r="R265" t="str">
        <f t="shared" si="20"/>
        <v>Ack</v>
      </c>
    </row>
    <row r="266" spans="1:18" hidden="1" x14ac:dyDescent="0.25">
      <c r="A266" s="3">
        <f t="shared" si="17"/>
        <v>44761.551857245366</v>
      </c>
      <c r="B266" s="8" t="str">
        <f t="shared" si="18"/>
        <v>→</v>
      </c>
      <c r="C266" s="11">
        <f t="shared" si="19"/>
        <v>9.5000000000000001E-2</v>
      </c>
      <c r="D266" s="2">
        <v>1658200480466</v>
      </c>
      <c r="E266" t="s">
        <v>0</v>
      </c>
      <c r="F266" s="1">
        <v>5</v>
      </c>
      <c r="G266" s="1">
        <v>21</v>
      </c>
      <c r="H266" s="1">
        <v>31</v>
      </c>
      <c r="I266" s="1">
        <v>6</v>
      </c>
      <c r="J266" s="1">
        <v>60</v>
      </c>
      <c r="K266" s="1">
        <v>83</v>
      </c>
      <c r="R266" t="str">
        <f t="shared" si="20"/>
        <v>FURNACE STATUS REQUEST</v>
      </c>
    </row>
    <row r="267" spans="1:18" hidden="1" x14ac:dyDescent="0.25">
      <c r="A267" s="3">
        <f t="shared" si="17"/>
        <v>44761.551858981482</v>
      </c>
      <c r="B267" s="8" t="str">
        <f t="shared" si="18"/>
        <v>←</v>
      </c>
      <c r="C267" s="11">
        <f t="shared" si="19"/>
        <v>0.15</v>
      </c>
      <c r="D267" s="2">
        <v>1658200480616</v>
      </c>
      <c r="E267" t="s">
        <v>0</v>
      </c>
      <c r="F267" s="1">
        <v>9</v>
      </c>
      <c r="G267" s="1">
        <v>31</v>
      </c>
      <c r="H267" s="1">
        <v>21</v>
      </c>
      <c r="I267" s="1" t="s">
        <v>1</v>
      </c>
      <c r="J267" s="1">
        <v>0</v>
      </c>
      <c r="K267" s="1">
        <v>27</v>
      </c>
      <c r="L267" s="1">
        <v>0</v>
      </c>
      <c r="M267" s="1">
        <v>0</v>
      </c>
      <c r="N267" s="1" t="s">
        <v>2</v>
      </c>
      <c r="O267" s="1">
        <v>20</v>
      </c>
      <c r="R267" t="str">
        <f t="shared" si="20"/>
        <v>FURNACE STATUS RESPONSE Fan:1 Ignition:1 Burner:1 Unknown:20</v>
      </c>
    </row>
    <row r="268" spans="1:18" hidden="1" x14ac:dyDescent="0.25">
      <c r="A268" s="3">
        <f t="shared" si="17"/>
        <v>44761.552016875001</v>
      </c>
      <c r="B268" s="8" t="str">
        <f t="shared" si="18"/>
        <v>→</v>
      </c>
      <c r="C268" s="11">
        <f t="shared" si="19"/>
        <v>13.641999999999999</v>
      </c>
      <c r="D268" s="2">
        <v>1658200494258</v>
      </c>
      <c r="E268" t="s">
        <v>0</v>
      </c>
      <c r="F268" s="1" t="s">
        <v>3</v>
      </c>
      <c r="G268" s="1">
        <v>21</v>
      </c>
      <c r="H268" s="1">
        <v>31</v>
      </c>
      <c r="I268" s="1" t="s">
        <v>3</v>
      </c>
      <c r="J268" s="1">
        <v>0</v>
      </c>
      <c r="K268" s="1">
        <v>12</v>
      </c>
      <c r="L268" s="1">
        <v>25</v>
      </c>
      <c r="M268" s="1">
        <v>1</v>
      </c>
      <c r="N268" s="1" t="s">
        <v>4</v>
      </c>
      <c r="O268" s="1">
        <v>0</v>
      </c>
      <c r="P268" s="1" t="s">
        <v>101</v>
      </c>
      <c r="Q268" s="1" t="s">
        <v>108</v>
      </c>
      <c r="R268" t="str">
        <f t="shared" si="20"/>
        <v>TEMPERATURE INFO Set:18 Actual:18.5 Countdown:180</v>
      </c>
    </row>
    <row r="269" spans="1:18" hidden="1" x14ac:dyDescent="0.25">
      <c r="A269" s="3">
        <f t="shared" si="17"/>
        <v>44761.552018229166</v>
      </c>
      <c r="B269" s="8" t="str">
        <f t="shared" si="18"/>
        <v>←</v>
      </c>
      <c r="C269" s="11">
        <f t="shared" si="19"/>
        <v>0.11700000000000001</v>
      </c>
      <c r="D269" s="2">
        <v>1658200494375</v>
      </c>
      <c r="E269" t="s">
        <v>0</v>
      </c>
      <c r="F269" s="1">
        <v>5</v>
      </c>
      <c r="G269" s="1">
        <v>31</v>
      </c>
      <c r="H269" s="1">
        <v>21</v>
      </c>
      <c r="I269" s="1" t="s">
        <v>6</v>
      </c>
      <c r="J269" s="1">
        <v>3</v>
      </c>
      <c r="K269" s="1" t="s">
        <v>7</v>
      </c>
      <c r="R269" t="str">
        <f t="shared" si="20"/>
        <v>Ack</v>
      </c>
    </row>
    <row r="270" spans="1:18" hidden="1" x14ac:dyDescent="0.25">
      <c r="A270" s="3">
        <f t="shared" si="17"/>
        <v>44761.552020243056</v>
      </c>
      <c r="B270" s="8" t="str">
        <f t="shared" si="18"/>
        <v>←</v>
      </c>
      <c r="C270" s="11">
        <f t="shared" si="19"/>
        <v>0.17399999999999999</v>
      </c>
      <c r="D270" s="2">
        <v>1658200494549</v>
      </c>
      <c r="E270" t="s">
        <v>0</v>
      </c>
      <c r="F270" s="1">
        <v>9</v>
      </c>
      <c r="G270" s="1">
        <v>31</v>
      </c>
      <c r="H270" s="1">
        <v>21</v>
      </c>
      <c r="I270" s="1">
        <v>5</v>
      </c>
      <c r="J270" s="1">
        <v>0</v>
      </c>
      <c r="K270" s="1">
        <v>23</v>
      </c>
      <c r="L270" s="1">
        <v>0</v>
      </c>
      <c r="M270" s="1">
        <v>0</v>
      </c>
      <c r="N270" s="1" t="s">
        <v>8</v>
      </c>
      <c r="O270" s="1">
        <v>20</v>
      </c>
      <c r="R270" t="str">
        <f t="shared" si="20"/>
        <v>FURNACE STATUS REPORT Fan:1 Ignition:1 Burner:0 Unknown:20</v>
      </c>
    </row>
    <row r="271" spans="1:18" hidden="1" x14ac:dyDescent="0.25">
      <c r="A271" s="3">
        <f t="shared" si="17"/>
        <v>44761.552021388889</v>
      </c>
      <c r="B271" s="8" t="str">
        <f t="shared" si="18"/>
        <v>→</v>
      </c>
      <c r="C271" s="11">
        <f t="shared" si="19"/>
        <v>9.9000000000000005E-2</v>
      </c>
      <c r="D271" s="2">
        <v>1658200494648</v>
      </c>
      <c r="E271" t="s">
        <v>0</v>
      </c>
      <c r="F271" s="1">
        <v>5</v>
      </c>
      <c r="G271" s="1">
        <v>21</v>
      </c>
      <c r="H271" s="1">
        <v>31</v>
      </c>
      <c r="I271" s="1" t="s">
        <v>6</v>
      </c>
      <c r="J271" s="1">
        <v>62</v>
      </c>
      <c r="K271" s="1">
        <v>95</v>
      </c>
      <c r="R271" t="str">
        <f t="shared" si="20"/>
        <v>Ack</v>
      </c>
    </row>
    <row r="272" spans="1:18" hidden="1" x14ac:dyDescent="0.25">
      <c r="A272" s="3">
        <f t="shared" si="17"/>
        <v>44761.552540833327</v>
      </c>
      <c r="B272" s="8" t="str">
        <f t="shared" si="18"/>
        <v>→</v>
      </c>
      <c r="C272" s="11">
        <f t="shared" si="19"/>
        <v>44.88</v>
      </c>
      <c r="D272" s="2">
        <v>1658200539528</v>
      </c>
      <c r="E272" t="s">
        <v>0</v>
      </c>
      <c r="F272" s="1">
        <v>8</v>
      </c>
      <c r="G272" s="1">
        <v>21</v>
      </c>
      <c r="H272" s="1">
        <v>31</v>
      </c>
      <c r="I272" s="1">
        <v>7</v>
      </c>
      <c r="J272" s="1" t="s">
        <v>70</v>
      </c>
      <c r="K272" s="1" t="s">
        <v>9</v>
      </c>
      <c r="L272" s="1">
        <v>1</v>
      </c>
      <c r="M272" s="1" t="s">
        <v>103</v>
      </c>
      <c r="N272" s="1" t="s">
        <v>109</v>
      </c>
      <c r="R272" t="str">
        <f t="shared" si="20"/>
        <v>TIME 13:10 Tue</v>
      </c>
    </row>
    <row r="273" spans="1:18" hidden="1" x14ac:dyDescent="0.25">
      <c r="A273" s="3">
        <f t="shared" si="17"/>
        <v>44761.552542060184</v>
      </c>
      <c r="B273" s="8" t="str">
        <f t="shared" si="18"/>
        <v>←</v>
      </c>
      <c r="C273" s="11">
        <f t="shared" si="19"/>
        <v>0.106</v>
      </c>
      <c r="D273" s="2">
        <v>1658200539634</v>
      </c>
      <c r="E273" t="s">
        <v>0</v>
      </c>
      <c r="F273" s="1">
        <v>5</v>
      </c>
      <c r="G273" s="1">
        <v>31</v>
      </c>
      <c r="H273" s="1">
        <v>21</v>
      </c>
      <c r="I273" s="1" t="s">
        <v>6</v>
      </c>
      <c r="J273" s="1">
        <v>3</v>
      </c>
      <c r="K273" s="1" t="s">
        <v>7</v>
      </c>
      <c r="R273" t="str">
        <f t="shared" si="20"/>
        <v>Ack</v>
      </c>
    </row>
    <row r="274" spans="1:18" hidden="1" x14ac:dyDescent="0.25">
      <c r="A274" s="3">
        <f t="shared" si="17"/>
        <v>44761.552543483798</v>
      </c>
      <c r="B274" s="8" t="str">
        <f t="shared" si="18"/>
        <v>→</v>
      </c>
      <c r="C274" s="11">
        <f t="shared" si="19"/>
        <v>0.123</v>
      </c>
      <c r="D274" s="2">
        <v>1658200539757</v>
      </c>
      <c r="E274" t="s">
        <v>0</v>
      </c>
      <c r="F274" s="1">
        <v>5</v>
      </c>
      <c r="G274" s="1">
        <v>21</v>
      </c>
      <c r="H274" s="1">
        <v>31</v>
      </c>
      <c r="I274" s="1">
        <v>9</v>
      </c>
      <c r="J274" s="1">
        <v>60</v>
      </c>
      <c r="K274" s="1" t="s">
        <v>11</v>
      </c>
      <c r="R274" t="str">
        <f t="shared" si="20"/>
        <v>PING FURNACE</v>
      </c>
    </row>
    <row r="275" spans="1:18" hidden="1" x14ac:dyDescent="0.25">
      <c r="A275" s="3">
        <f t="shared" si="17"/>
        <v>44761.55254449074</v>
      </c>
      <c r="B275" s="8" t="str">
        <f t="shared" si="18"/>
        <v>←</v>
      </c>
      <c r="C275" s="11">
        <f t="shared" si="19"/>
        <v>8.6999999999999994E-2</v>
      </c>
      <c r="D275" s="2">
        <v>1658200539844</v>
      </c>
      <c r="E275" t="s">
        <v>0</v>
      </c>
      <c r="F275" s="1">
        <v>5</v>
      </c>
      <c r="G275" s="1">
        <v>31</v>
      </c>
      <c r="H275" s="1">
        <v>21</v>
      </c>
      <c r="I275" s="1" t="s">
        <v>6</v>
      </c>
      <c r="J275" s="1">
        <v>3</v>
      </c>
      <c r="K275" s="1" t="s">
        <v>7</v>
      </c>
      <c r="R275" t="str">
        <f t="shared" si="20"/>
        <v>Ack</v>
      </c>
    </row>
    <row r="276" spans="1:18" hidden="1" x14ac:dyDescent="0.25">
      <c r="A276" s="3">
        <f t="shared" si="17"/>
        <v>44761.552546296291</v>
      </c>
      <c r="B276" s="8" t="str">
        <f t="shared" si="18"/>
        <v>→</v>
      </c>
      <c r="C276" s="11">
        <f t="shared" si="19"/>
        <v>0.156</v>
      </c>
      <c r="D276" s="2">
        <v>1658200540000</v>
      </c>
      <c r="E276" t="s">
        <v>0</v>
      </c>
      <c r="F276" s="1" t="s">
        <v>3</v>
      </c>
      <c r="G276" s="1">
        <v>21</v>
      </c>
      <c r="H276" s="1">
        <v>31</v>
      </c>
      <c r="I276" s="1" t="s">
        <v>3</v>
      </c>
      <c r="J276" s="1">
        <v>0</v>
      </c>
      <c r="K276" s="1">
        <v>12</v>
      </c>
      <c r="L276" s="1">
        <v>25</v>
      </c>
      <c r="M276" s="1">
        <v>1</v>
      </c>
      <c r="N276" s="1" t="s">
        <v>65</v>
      </c>
      <c r="O276" s="1">
        <v>0</v>
      </c>
      <c r="P276" s="1" t="s">
        <v>114</v>
      </c>
      <c r="Q276" s="1">
        <v>88</v>
      </c>
      <c r="R276" t="str">
        <f t="shared" si="20"/>
        <v>TEMPERATURE INFO Set:18 Actual:18.5 Countdown:140</v>
      </c>
    </row>
    <row r="277" spans="1:18" hidden="1" x14ac:dyDescent="0.25">
      <c r="A277" s="3">
        <f t="shared" si="17"/>
        <v>44761.552547789346</v>
      </c>
      <c r="B277" s="8" t="str">
        <f t="shared" si="18"/>
        <v>←</v>
      </c>
      <c r="C277" s="11">
        <f t="shared" si="19"/>
        <v>0.129</v>
      </c>
      <c r="D277" s="2">
        <v>1658200540129</v>
      </c>
      <c r="E277" t="s">
        <v>0</v>
      </c>
      <c r="F277" s="1">
        <v>5</v>
      </c>
      <c r="G277" s="1">
        <v>31</v>
      </c>
      <c r="H277" s="1">
        <v>21</v>
      </c>
      <c r="I277" s="1" t="s">
        <v>6</v>
      </c>
      <c r="J277" s="1">
        <v>3</v>
      </c>
      <c r="K277" s="1" t="s">
        <v>7</v>
      </c>
      <c r="R277" t="str">
        <f t="shared" si="20"/>
        <v>Ack</v>
      </c>
    </row>
    <row r="278" spans="1:18" x14ac:dyDescent="0.25">
      <c r="A278" s="3">
        <f t="shared" si="17"/>
        <v>44761.552548958331</v>
      </c>
      <c r="B278" s="8" t="str">
        <f t="shared" si="18"/>
        <v>→</v>
      </c>
      <c r="C278" s="11">
        <f t="shared" si="19"/>
        <v>0.10100000000000001</v>
      </c>
      <c r="D278" s="2">
        <v>1658200540230</v>
      </c>
      <c r="E278" t="s">
        <v>0</v>
      </c>
      <c r="F278" s="1">
        <v>6</v>
      </c>
      <c r="G278" s="1">
        <v>21</v>
      </c>
      <c r="H278" s="1">
        <v>31</v>
      </c>
      <c r="I278" s="1">
        <v>29</v>
      </c>
      <c r="J278" s="1">
        <v>0</v>
      </c>
      <c r="K278" s="1" t="s">
        <v>13</v>
      </c>
      <c r="L278" s="1" t="s">
        <v>14</v>
      </c>
      <c r="R278" t="str">
        <f t="shared" si="20"/>
        <v>LONG PING FURNACE</v>
      </c>
    </row>
    <row r="279" spans="1:18" hidden="1" x14ac:dyDescent="0.25">
      <c r="A279" s="3">
        <f t="shared" si="17"/>
        <v>44761.552550115739</v>
      </c>
      <c r="B279" s="8" t="str">
        <f t="shared" si="18"/>
        <v>←</v>
      </c>
      <c r="C279" s="11">
        <f t="shared" si="19"/>
        <v>0.1</v>
      </c>
      <c r="D279" s="2">
        <v>1658200540330</v>
      </c>
      <c r="E279" t="s">
        <v>0</v>
      </c>
      <c r="F279" s="1">
        <v>5</v>
      </c>
      <c r="G279" s="1">
        <v>31</v>
      </c>
      <c r="H279" s="1">
        <v>21</v>
      </c>
      <c r="I279" s="1" t="s">
        <v>6</v>
      </c>
      <c r="J279" s="1">
        <v>3</v>
      </c>
      <c r="K279" s="1" t="s">
        <v>7</v>
      </c>
      <c r="R279" t="str">
        <f t="shared" si="20"/>
        <v>Ack</v>
      </c>
    </row>
    <row r="280" spans="1:18" hidden="1" x14ac:dyDescent="0.25">
      <c r="A280" s="3">
        <f t="shared" si="17"/>
        <v>44761.552551215274</v>
      </c>
      <c r="B280" s="8" t="str">
        <f t="shared" si="18"/>
        <v>→</v>
      </c>
      <c r="C280" s="11">
        <f t="shared" si="19"/>
        <v>9.5000000000000001E-2</v>
      </c>
      <c r="D280" s="2">
        <v>1658200540425</v>
      </c>
      <c r="E280" t="s">
        <v>0</v>
      </c>
      <c r="F280" s="1">
        <v>5</v>
      </c>
      <c r="G280" s="1">
        <v>21</v>
      </c>
      <c r="H280" s="1">
        <v>31</v>
      </c>
      <c r="I280" s="1">
        <v>6</v>
      </c>
      <c r="J280" s="1">
        <v>60</v>
      </c>
      <c r="K280" s="1">
        <v>83</v>
      </c>
      <c r="R280" t="str">
        <f t="shared" si="20"/>
        <v>FURNACE STATUS REQUEST</v>
      </c>
    </row>
    <row r="281" spans="1:18" hidden="1" x14ac:dyDescent="0.25">
      <c r="A281" s="3">
        <f t="shared" si="17"/>
        <v>44761.552552974536</v>
      </c>
      <c r="B281" s="8" t="str">
        <f t="shared" si="18"/>
        <v>←</v>
      </c>
      <c r="C281" s="11">
        <f t="shared" si="19"/>
        <v>0.152</v>
      </c>
      <c r="D281" s="2">
        <v>1658200540577</v>
      </c>
      <c r="E281" t="s">
        <v>0</v>
      </c>
      <c r="F281" s="1">
        <v>9</v>
      </c>
      <c r="G281" s="1">
        <v>31</v>
      </c>
      <c r="H281" s="1">
        <v>21</v>
      </c>
      <c r="I281" s="1" t="s">
        <v>1</v>
      </c>
      <c r="J281" s="1">
        <v>0</v>
      </c>
      <c r="K281" s="1">
        <v>23</v>
      </c>
      <c r="L281" s="1">
        <v>0</v>
      </c>
      <c r="M281" s="1">
        <v>0</v>
      </c>
      <c r="N281" s="1">
        <v>71</v>
      </c>
      <c r="O281" s="1">
        <v>73</v>
      </c>
      <c r="R281" t="str">
        <f t="shared" si="20"/>
        <v>FURNACE STATUS RESPONSE Fan:1 Ignition:1 Burner:0 Unknown:20</v>
      </c>
    </row>
    <row r="282" spans="1:18" hidden="1" x14ac:dyDescent="0.25">
      <c r="A282" s="3">
        <f t="shared" si="17"/>
        <v>44761.552610069441</v>
      </c>
      <c r="B282" s="8" t="str">
        <f t="shared" si="18"/>
        <v>←</v>
      </c>
      <c r="C282" s="11">
        <f t="shared" si="19"/>
        <v>4.9329999999999998</v>
      </c>
      <c r="D282" s="2">
        <v>1658200545510</v>
      </c>
      <c r="E282" t="s">
        <v>0</v>
      </c>
      <c r="F282" s="1">
        <v>9</v>
      </c>
      <c r="G282" s="1">
        <v>31</v>
      </c>
      <c r="H282" s="1">
        <v>21</v>
      </c>
      <c r="I282" s="1">
        <v>5</v>
      </c>
      <c r="J282" s="1">
        <v>0</v>
      </c>
      <c r="K282" s="1">
        <v>1</v>
      </c>
      <c r="L282" s="1">
        <v>0</v>
      </c>
      <c r="M282" s="1">
        <v>0</v>
      </c>
      <c r="N282" s="1" t="s">
        <v>15</v>
      </c>
      <c r="O282" s="1">
        <v>88</v>
      </c>
      <c r="R282" t="str">
        <f t="shared" si="20"/>
        <v>FURNACE STATUS REPORT Fan:1 Ignition:0 Burner:0 Unknown:0</v>
      </c>
    </row>
    <row r="283" spans="1:18" hidden="1" x14ac:dyDescent="0.25">
      <c r="A283" s="3">
        <f t="shared" si="17"/>
        <v>44761.552610995372</v>
      </c>
      <c r="B283" s="8" t="str">
        <f t="shared" si="18"/>
        <v>→</v>
      </c>
      <c r="C283" s="11">
        <f t="shared" si="19"/>
        <v>0.08</v>
      </c>
      <c r="D283" s="2">
        <v>1658200545590</v>
      </c>
      <c r="E283" t="s">
        <v>0</v>
      </c>
      <c r="F283" s="1">
        <v>5</v>
      </c>
      <c r="G283" s="1">
        <v>21</v>
      </c>
      <c r="H283" s="1">
        <v>31</v>
      </c>
      <c r="I283" s="1" t="s">
        <v>6</v>
      </c>
      <c r="J283" s="1">
        <v>62</v>
      </c>
      <c r="K283" s="1">
        <v>95</v>
      </c>
      <c r="R283" t="str">
        <f t="shared" si="20"/>
        <v>Ack</v>
      </c>
    </row>
    <row r="284" spans="1:18" hidden="1" x14ac:dyDescent="0.25">
      <c r="A284" s="3">
        <f t="shared" si="17"/>
        <v>44761.553235231484</v>
      </c>
      <c r="B284" s="8" t="str">
        <f t="shared" si="18"/>
        <v>→</v>
      </c>
      <c r="C284" s="11">
        <f t="shared" si="19"/>
        <v>53.933999999999997</v>
      </c>
      <c r="D284" s="2">
        <v>1658200599524</v>
      </c>
      <c r="E284" t="s">
        <v>0</v>
      </c>
      <c r="F284" s="1">
        <v>8</v>
      </c>
      <c r="G284" s="1">
        <v>21</v>
      </c>
      <c r="H284" s="1">
        <v>31</v>
      </c>
      <c r="I284" s="1">
        <v>7</v>
      </c>
      <c r="J284" s="1" t="s">
        <v>70</v>
      </c>
      <c r="K284" s="1" t="s">
        <v>3</v>
      </c>
      <c r="L284" s="1">
        <v>1</v>
      </c>
      <c r="M284" s="1" t="s">
        <v>53</v>
      </c>
      <c r="N284" s="1" t="s">
        <v>57</v>
      </c>
      <c r="R284" t="str">
        <f t="shared" si="20"/>
        <v>TIME 13:11 Tue</v>
      </c>
    </row>
    <row r="285" spans="1:18" hidden="1" x14ac:dyDescent="0.25">
      <c r="A285" s="3">
        <f t="shared" si="17"/>
        <v>44761.553236562497</v>
      </c>
      <c r="B285" s="8" t="str">
        <f t="shared" si="18"/>
        <v>←</v>
      </c>
      <c r="C285" s="11">
        <f t="shared" si="19"/>
        <v>0.115</v>
      </c>
      <c r="D285" s="2">
        <v>1658200599639</v>
      </c>
      <c r="E285" t="s">
        <v>0</v>
      </c>
      <c r="F285" s="1">
        <v>5</v>
      </c>
      <c r="G285" s="1">
        <v>31</v>
      </c>
      <c r="H285" s="1">
        <v>21</v>
      </c>
      <c r="I285" s="1" t="s">
        <v>6</v>
      </c>
      <c r="J285" s="1">
        <v>3</v>
      </c>
      <c r="K285" s="1" t="s">
        <v>7</v>
      </c>
      <c r="R285" t="str">
        <f t="shared" si="20"/>
        <v>Ack</v>
      </c>
    </row>
    <row r="286" spans="1:18" hidden="1" x14ac:dyDescent="0.25">
      <c r="A286" s="3">
        <f t="shared" si="17"/>
        <v>44761.55323759259</v>
      </c>
      <c r="B286" s="8" t="str">
        <f t="shared" si="18"/>
        <v>→</v>
      </c>
      <c r="C286" s="11">
        <f t="shared" si="19"/>
        <v>8.8999999999999996E-2</v>
      </c>
      <c r="D286" s="2">
        <v>1658200599728</v>
      </c>
      <c r="E286" t="s">
        <v>0</v>
      </c>
      <c r="F286" s="1">
        <v>5</v>
      </c>
      <c r="G286" s="1">
        <v>21</v>
      </c>
      <c r="H286" s="1">
        <v>31</v>
      </c>
      <c r="I286" s="1">
        <v>9</v>
      </c>
      <c r="J286" s="1">
        <v>60</v>
      </c>
      <c r="K286" s="1" t="s">
        <v>11</v>
      </c>
      <c r="R286" t="str">
        <f t="shared" si="20"/>
        <v>PING FURNACE</v>
      </c>
    </row>
    <row r="287" spans="1:18" hidden="1" x14ac:dyDescent="0.25">
      <c r="A287" s="3">
        <f t="shared" si="17"/>
        <v>44761.553239236113</v>
      </c>
      <c r="B287" s="8" t="str">
        <f t="shared" si="18"/>
        <v>←</v>
      </c>
      <c r="C287" s="11">
        <f t="shared" si="19"/>
        <v>0.14199999999999999</v>
      </c>
      <c r="D287" s="2">
        <v>1658200599870</v>
      </c>
      <c r="E287" t="s">
        <v>0</v>
      </c>
      <c r="F287" s="1">
        <v>5</v>
      </c>
      <c r="G287" s="1">
        <v>31</v>
      </c>
      <c r="H287" s="1">
        <v>21</v>
      </c>
      <c r="I287" s="1" t="s">
        <v>6</v>
      </c>
      <c r="J287" s="1">
        <v>3</v>
      </c>
      <c r="K287" s="1" t="s">
        <v>7</v>
      </c>
      <c r="R287" t="str">
        <f t="shared" si="20"/>
        <v>Ack</v>
      </c>
    </row>
    <row r="288" spans="1:18" hidden="1" x14ac:dyDescent="0.25">
      <c r="A288" s="3">
        <f t="shared" si="17"/>
        <v>44761.553240983798</v>
      </c>
      <c r="B288" s="8" t="str">
        <f t="shared" si="18"/>
        <v>→</v>
      </c>
      <c r="C288" s="11">
        <f t="shared" si="19"/>
        <v>0.151</v>
      </c>
      <c r="D288" s="2">
        <v>1658200600021</v>
      </c>
      <c r="E288" t="s">
        <v>0</v>
      </c>
      <c r="F288" s="1" t="s">
        <v>3</v>
      </c>
      <c r="G288" s="1">
        <v>21</v>
      </c>
      <c r="H288" s="1">
        <v>31</v>
      </c>
      <c r="I288" s="1" t="s">
        <v>3</v>
      </c>
      <c r="J288" s="1">
        <v>0</v>
      </c>
      <c r="K288" s="1">
        <v>12</v>
      </c>
      <c r="L288" s="1">
        <v>25</v>
      </c>
      <c r="M288" s="1">
        <v>1</v>
      </c>
      <c r="N288" s="1">
        <v>50</v>
      </c>
      <c r="O288" s="1">
        <v>0</v>
      </c>
      <c r="P288" s="1">
        <v>52</v>
      </c>
      <c r="Q288" s="1">
        <v>84</v>
      </c>
      <c r="R288" t="str">
        <f t="shared" si="20"/>
        <v>TEMPERATURE INFO Set:18 Actual:18.5 Countdown:80</v>
      </c>
    </row>
    <row r="289" spans="1:18" hidden="1" x14ac:dyDescent="0.25">
      <c r="A289" s="3">
        <f t="shared" si="17"/>
        <v>44761.553242708331</v>
      </c>
      <c r="B289" s="8" t="str">
        <f t="shared" si="18"/>
        <v>←</v>
      </c>
      <c r="C289" s="11">
        <f t="shared" si="19"/>
        <v>0.14899999999999999</v>
      </c>
      <c r="D289" s="2">
        <v>1658200600170</v>
      </c>
      <c r="E289" t="s">
        <v>0</v>
      </c>
      <c r="F289" s="1">
        <v>5</v>
      </c>
      <c r="G289" s="1">
        <v>31</v>
      </c>
      <c r="H289" s="1">
        <v>21</v>
      </c>
      <c r="I289" s="1" t="s">
        <v>6</v>
      </c>
      <c r="J289" s="1">
        <v>3</v>
      </c>
      <c r="K289" s="1" t="s">
        <v>7</v>
      </c>
      <c r="R289" t="str">
        <f t="shared" si="20"/>
        <v>Ack</v>
      </c>
    </row>
    <row r="290" spans="1:18" x14ac:dyDescent="0.25">
      <c r="A290" s="3">
        <f t="shared" ref="A290:A353" si="21">D290/(1000*60*60*24)+25569+10/24</f>
        <v>44761.553244039351</v>
      </c>
      <c r="B290" s="8" t="str">
        <f t="shared" ref="B290:B353" si="22">IF(AND(G290=21,H290=31),"→",IF(AND(G290=31,H290=21),"←","Error"))</f>
        <v>→</v>
      </c>
      <c r="C290" s="11">
        <f t="shared" ref="C290:C353" si="23">(D290-D289)/1000</f>
        <v>0.115</v>
      </c>
      <c r="D290" s="2">
        <v>1658200600285</v>
      </c>
      <c r="E290" t="s">
        <v>0</v>
      </c>
      <c r="F290" s="1">
        <v>6</v>
      </c>
      <c r="G290" s="1">
        <v>21</v>
      </c>
      <c r="H290" s="1">
        <v>31</v>
      </c>
      <c r="I290" s="1">
        <v>29</v>
      </c>
      <c r="J290" s="1">
        <v>0</v>
      </c>
      <c r="K290" s="1" t="s">
        <v>13</v>
      </c>
      <c r="L290" s="1" t="s">
        <v>14</v>
      </c>
      <c r="R290" t="str">
        <f t="shared" si="20"/>
        <v>LONG PING FURNACE</v>
      </c>
    </row>
    <row r="291" spans="1:18" hidden="1" x14ac:dyDescent="0.25">
      <c r="A291" s="3">
        <f t="shared" si="21"/>
        <v>44761.553245659721</v>
      </c>
      <c r="B291" s="8" t="str">
        <f t="shared" si="22"/>
        <v>←</v>
      </c>
      <c r="C291" s="11">
        <f t="shared" si="23"/>
        <v>0.14000000000000001</v>
      </c>
      <c r="D291" s="2">
        <v>1658200600425</v>
      </c>
      <c r="E291" t="s">
        <v>0</v>
      </c>
      <c r="F291" s="1">
        <v>5</v>
      </c>
      <c r="G291" s="1">
        <v>31</v>
      </c>
      <c r="H291" s="1">
        <v>21</v>
      </c>
      <c r="I291" s="1" t="s">
        <v>6</v>
      </c>
      <c r="J291" s="1">
        <v>3</v>
      </c>
      <c r="K291" s="1" t="s">
        <v>7</v>
      </c>
      <c r="R291" t="str">
        <f t="shared" si="20"/>
        <v>Ack</v>
      </c>
    </row>
    <row r="292" spans="1:18" hidden="1" x14ac:dyDescent="0.25">
      <c r="A292" s="3">
        <f t="shared" si="21"/>
        <v>44761.55324671296</v>
      </c>
      <c r="B292" s="8" t="str">
        <f t="shared" si="22"/>
        <v>→</v>
      </c>
      <c r="C292" s="11">
        <f t="shared" si="23"/>
        <v>9.0999999999999998E-2</v>
      </c>
      <c r="D292" s="2">
        <v>1658200600516</v>
      </c>
      <c r="E292" t="s">
        <v>0</v>
      </c>
      <c r="F292" s="1">
        <v>5</v>
      </c>
      <c r="G292" s="1">
        <v>21</v>
      </c>
      <c r="H292" s="1">
        <v>31</v>
      </c>
      <c r="I292" s="1">
        <v>6</v>
      </c>
      <c r="J292" s="1">
        <v>60</v>
      </c>
      <c r="K292" s="1">
        <v>83</v>
      </c>
      <c r="R292" t="str">
        <f t="shared" si="20"/>
        <v>FURNACE STATUS REQUEST</v>
      </c>
    </row>
    <row r="293" spans="1:18" hidden="1" x14ac:dyDescent="0.25">
      <c r="A293" s="3">
        <f t="shared" si="21"/>
        <v>44761.553248657401</v>
      </c>
      <c r="B293" s="8" t="str">
        <f t="shared" si="22"/>
        <v>←</v>
      </c>
      <c r="C293" s="11">
        <f t="shared" si="23"/>
        <v>0.16800000000000001</v>
      </c>
      <c r="D293" s="2">
        <v>1658200600684</v>
      </c>
      <c r="E293" t="s">
        <v>0</v>
      </c>
      <c r="F293" s="1">
        <v>9</v>
      </c>
      <c r="G293" s="1">
        <v>31</v>
      </c>
      <c r="H293" s="1">
        <v>21</v>
      </c>
      <c r="I293" s="1" t="s">
        <v>1</v>
      </c>
      <c r="J293" s="1">
        <v>0</v>
      </c>
      <c r="K293" s="1">
        <v>0</v>
      </c>
      <c r="L293" s="1">
        <v>0</v>
      </c>
      <c r="M293" s="1">
        <v>0</v>
      </c>
      <c r="N293" s="1" t="s">
        <v>21</v>
      </c>
      <c r="O293" s="1" t="s">
        <v>22</v>
      </c>
      <c r="R293" t="str">
        <f t="shared" si="20"/>
        <v>FURNACE STATUS RESPONSE Fan:0 Ignition:0 Burner:0 Unknown:0</v>
      </c>
    </row>
    <row r="294" spans="1:18" hidden="1" x14ac:dyDescent="0.25">
      <c r="A294" s="3">
        <f t="shared" si="21"/>
        <v>44761.553250740741</v>
      </c>
      <c r="B294" s="8" t="str">
        <f t="shared" si="22"/>
        <v>←</v>
      </c>
      <c r="C294" s="11">
        <f t="shared" si="23"/>
        <v>0.18</v>
      </c>
      <c r="D294" s="2">
        <v>1658200600864</v>
      </c>
      <c r="E294" t="s">
        <v>0</v>
      </c>
      <c r="F294" s="1">
        <v>9</v>
      </c>
      <c r="G294" s="1">
        <v>31</v>
      </c>
      <c r="H294" s="1">
        <v>21</v>
      </c>
      <c r="I294" s="1">
        <v>5</v>
      </c>
      <c r="J294" s="1">
        <v>0</v>
      </c>
      <c r="K294" s="1">
        <v>0</v>
      </c>
      <c r="L294" s="1">
        <v>0</v>
      </c>
      <c r="M294" s="1">
        <v>0</v>
      </c>
      <c r="N294" s="1" t="s">
        <v>19</v>
      </c>
      <c r="O294" s="1" t="s">
        <v>20</v>
      </c>
      <c r="R294" t="str">
        <f t="shared" si="20"/>
        <v>FURNACE STATUS REPORT Fan:0 Ignition:0 Burner:0 Unknown:0</v>
      </c>
    </row>
    <row r="295" spans="1:18" hidden="1" x14ac:dyDescent="0.25">
      <c r="A295" s="3">
        <f t="shared" si="21"/>
        <v>44761.553251805548</v>
      </c>
      <c r="B295" s="8" t="str">
        <f t="shared" si="22"/>
        <v>→</v>
      </c>
      <c r="C295" s="11">
        <f t="shared" si="23"/>
        <v>9.1999999999999998E-2</v>
      </c>
      <c r="D295" s="2">
        <v>1658200600956</v>
      </c>
      <c r="E295" t="s">
        <v>0</v>
      </c>
      <c r="F295" s="1">
        <v>5</v>
      </c>
      <c r="G295" s="1">
        <v>21</v>
      </c>
      <c r="H295" s="1">
        <v>31</v>
      </c>
      <c r="I295" s="1" t="s">
        <v>6</v>
      </c>
      <c r="J295" s="1">
        <v>62</v>
      </c>
      <c r="K295" s="1">
        <v>95</v>
      </c>
      <c r="R295" t="str">
        <f t="shared" si="20"/>
        <v>Ack</v>
      </c>
    </row>
    <row r="296" spans="1:18" hidden="1" x14ac:dyDescent="0.25">
      <c r="A296" s="3">
        <f t="shared" si="21"/>
        <v>44761.553929849535</v>
      </c>
      <c r="B296" s="8" t="str">
        <f t="shared" si="22"/>
        <v>→</v>
      </c>
      <c r="C296" s="11">
        <f t="shared" si="23"/>
        <v>58.582999999999998</v>
      </c>
      <c r="D296" s="2">
        <v>1658200659539</v>
      </c>
      <c r="E296" t="s">
        <v>0</v>
      </c>
      <c r="F296" s="1">
        <v>8</v>
      </c>
      <c r="G296" s="1">
        <v>21</v>
      </c>
      <c r="H296" s="1">
        <v>31</v>
      </c>
      <c r="I296" s="1">
        <v>7</v>
      </c>
      <c r="J296" s="1" t="s">
        <v>70</v>
      </c>
      <c r="K296" s="1" t="s">
        <v>68</v>
      </c>
      <c r="L296" s="1">
        <v>1</v>
      </c>
      <c r="M296" s="1" t="s">
        <v>104</v>
      </c>
      <c r="N296" s="1" t="s">
        <v>109</v>
      </c>
      <c r="R296" t="str">
        <f t="shared" si="20"/>
        <v>TIME 13:12 Tue</v>
      </c>
    </row>
    <row r="297" spans="1:18" hidden="1" x14ac:dyDescent="0.25">
      <c r="A297" s="3">
        <f t="shared" si="21"/>
        <v>44761.553931064809</v>
      </c>
      <c r="B297" s="8" t="str">
        <f t="shared" si="22"/>
        <v>←</v>
      </c>
      <c r="C297" s="11">
        <f t="shared" si="23"/>
        <v>0.105</v>
      </c>
      <c r="D297" s="2">
        <v>1658200659644</v>
      </c>
      <c r="E297" t="s">
        <v>0</v>
      </c>
      <c r="F297" s="1">
        <v>5</v>
      </c>
      <c r="G297" s="1">
        <v>31</v>
      </c>
      <c r="H297" s="1">
        <v>21</v>
      </c>
      <c r="I297" s="1" t="s">
        <v>6</v>
      </c>
      <c r="J297" s="1">
        <v>3</v>
      </c>
      <c r="K297" s="1" t="s">
        <v>7</v>
      </c>
      <c r="R297" t="str">
        <f t="shared" si="20"/>
        <v>Ack</v>
      </c>
    </row>
    <row r="298" spans="1:18" hidden="1" x14ac:dyDescent="0.25">
      <c r="A298" s="3">
        <f t="shared" si="21"/>
        <v>44761.553932372684</v>
      </c>
      <c r="B298" s="8" t="str">
        <f t="shared" si="22"/>
        <v>→</v>
      </c>
      <c r="C298" s="11">
        <f t="shared" si="23"/>
        <v>0.113</v>
      </c>
      <c r="D298" s="2">
        <v>1658200659757</v>
      </c>
      <c r="E298" t="s">
        <v>0</v>
      </c>
      <c r="F298" s="1">
        <v>5</v>
      </c>
      <c r="G298" s="1">
        <v>21</v>
      </c>
      <c r="H298" s="1">
        <v>31</v>
      </c>
      <c r="I298" s="1">
        <v>9</v>
      </c>
      <c r="J298" s="1">
        <v>60</v>
      </c>
      <c r="K298" s="1" t="s">
        <v>11</v>
      </c>
      <c r="R298" t="str">
        <f t="shared" si="20"/>
        <v>PING FURNACE</v>
      </c>
    </row>
    <row r="299" spans="1:18" hidden="1" x14ac:dyDescent="0.25">
      <c r="A299" s="3">
        <f t="shared" si="21"/>
        <v>44761.553933576382</v>
      </c>
      <c r="B299" s="8" t="str">
        <f t="shared" si="22"/>
        <v>←</v>
      </c>
      <c r="C299" s="11">
        <f t="shared" si="23"/>
        <v>0.104</v>
      </c>
      <c r="D299" s="2">
        <v>1658200659861</v>
      </c>
      <c r="E299" t="s">
        <v>0</v>
      </c>
      <c r="F299" s="1">
        <v>5</v>
      </c>
      <c r="G299" s="1">
        <v>31</v>
      </c>
      <c r="H299" s="1">
        <v>21</v>
      </c>
      <c r="I299" s="1" t="s">
        <v>6</v>
      </c>
      <c r="J299" s="1">
        <v>3</v>
      </c>
      <c r="K299" s="1" t="s">
        <v>7</v>
      </c>
      <c r="R299" t="str">
        <f t="shared" si="20"/>
        <v>Ack</v>
      </c>
    </row>
    <row r="300" spans="1:18" hidden="1" x14ac:dyDescent="0.25">
      <c r="A300" s="3">
        <f t="shared" si="21"/>
        <v>44761.553935370372</v>
      </c>
      <c r="B300" s="8" t="str">
        <f t="shared" si="22"/>
        <v>→</v>
      </c>
      <c r="C300" s="11">
        <f t="shared" si="23"/>
        <v>0.155</v>
      </c>
      <c r="D300" s="2">
        <v>1658200660016</v>
      </c>
      <c r="E300" t="s">
        <v>0</v>
      </c>
      <c r="F300" s="1" t="s">
        <v>3</v>
      </c>
      <c r="G300" s="1">
        <v>21</v>
      </c>
      <c r="H300" s="1">
        <v>31</v>
      </c>
      <c r="I300" s="1" t="s">
        <v>3</v>
      </c>
      <c r="J300" s="1">
        <v>0</v>
      </c>
      <c r="K300" s="1">
        <v>12</v>
      </c>
      <c r="L300" s="1">
        <v>25</v>
      </c>
      <c r="M300" s="1">
        <v>1</v>
      </c>
      <c r="N300" s="1">
        <v>14</v>
      </c>
      <c r="O300" s="1">
        <v>0</v>
      </c>
      <c r="P300" s="1" t="s">
        <v>94</v>
      </c>
      <c r="Q300" s="1">
        <v>81</v>
      </c>
      <c r="R300" t="str">
        <f t="shared" si="20"/>
        <v>TEMPERATURE INFO Set:18 Actual:18.5 Countdown:20</v>
      </c>
    </row>
    <row r="301" spans="1:18" hidden="1" x14ac:dyDescent="0.25">
      <c r="A301" s="3">
        <f t="shared" si="21"/>
        <v>44761.553936655087</v>
      </c>
      <c r="B301" s="8" t="str">
        <f t="shared" si="22"/>
        <v>←</v>
      </c>
      <c r="C301" s="11">
        <f t="shared" si="23"/>
        <v>0.111</v>
      </c>
      <c r="D301" s="2">
        <v>1658200660127</v>
      </c>
      <c r="E301" t="s">
        <v>0</v>
      </c>
      <c r="F301" s="1">
        <v>5</v>
      </c>
      <c r="G301" s="1">
        <v>31</v>
      </c>
      <c r="H301" s="1">
        <v>21</v>
      </c>
      <c r="I301" s="1" t="s">
        <v>6</v>
      </c>
      <c r="J301" s="1">
        <v>3</v>
      </c>
      <c r="K301" s="1" t="s">
        <v>7</v>
      </c>
      <c r="R301" t="str">
        <f t="shared" si="20"/>
        <v>Ack</v>
      </c>
    </row>
    <row r="302" spans="1:18" x14ac:dyDescent="0.25">
      <c r="A302" s="3">
        <f t="shared" si="21"/>
        <v>44761.553938032404</v>
      </c>
      <c r="B302" s="8" t="str">
        <f t="shared" si="22"/>
        <v>→</v>
      </c>
      <c r="C302" s="11">
        <f t="shared" si="23"/>
        <v>0.11899999999999999</v>
      </c>
      <c r="D302" s="2">
        <v>1658200660246</v>
      </c>
      <c r="E302" t="s">
        <v>0</v>
      </c>
      <c r="F302" s="1">
        <v>6</v>
      </c>
      <c r="G302" s="1">
        <v>21</v>
      </c>
      <c r="H302" s="1">
        <v>31</v>
      </c>
      <c r="I302" s="1">
        <v>29</v>
      </c>
      <c r="J302" s="1">
        <v>0</v>
      </c>
      <c r="K302" s="1" t="s">
        <v>13</v>
      </c>
      <c r="L302" s="1" t="s">
        <v>14</v>
      </c>
      <c r="R302" t="str">
        <f t="shared" si="20"/>
        <v>LONG PING FURNACE</v>
      </c>
    </row>
    <row r="303" spans="1:18" hidden="1" x14ac:dyDescent="0.25">
      <c r="A303" s="3">
        <f t="shared" si="21"/>
        <v>44761.553939050922</v>
      </c>
      <c r="B303" s="8" t="str">
        <f t="shared" si="22"/>
        <v>←</v>
      </c>
      <c r="C303" s="11">
        <f t="shared" si="23"/>
        <v>8.7999999999999995E-2</v>
      </c>
      <c r="D303" s="2">
        <v>1658200660334</v>
      </c>
      <c r="E303" t="s">
        <v>0</v>
      </c>
      <c r="F303" s="1">
        <v>5</v>
      </c>
      <c r="G303" s="1">
        <v>31</v>
      </c>
      <c r="H303" s="1">
        <v>21</v>
      </c>
      <c r="I303" s="1" t="s">
        <v>6</v>
      </c>
      <c r="J303" s="1">
        <v>3</v>
      </c>
      <c r="K303" s="1" t="s">
        <v>7</v>
      </c>
      <c r="R303" t="str">
        <f t="shared" si="20"/>
        <v>Ack</v>
      </c>
    </row>
    <row r="304" spans="1:18" hidden="1" x14ac:dyDescent="0.25">
      <c r="A304" s="3">
        <f t="shared" si="21"/>
        <v>44761.55394020833</v>
      </c>
      <c r="B304" s="8" t="str">
        <f t="shared" si="22"/>
        <v>→</v>
      </c>
      <c r="C304" s="11">
        <f t="shared" si="23"/>
        <v>0.1</v>
      </c>
      <c r="D304" s="2">
        <v>1658200660434</v>
      </c>
      <c r="E304" t="s">
        <v>0</v>
      </c>
      <c r="F304" s="1">
        <v>5</v>
      </c>
      <c r="G304" s="1">
        <v>21</v>
      </c>
      <c r="H304" s="1">
        <v>31</v>
      </c>
      <c r="I304" s="1">
        <v>6</v>
      </c>
      <c r="J304" s="1">
        <v>60</v>
      </c>
      <c r="K304" s="1">
        <v>83</v>
      </c>
      <c r="R304" t="str">
        <f t="shared" si="20"/>
        <v>FURNACE STATUS REQUEST</v>
      </c>
    </row>
    <row r="305" spans="1:18" hidden="1" x14ac:dyDescent="0.25">
      <c r="A305" s="3">
        <f t="shared" si="21"/>
        <v>44761.553942152772</v>
      </c>
      <c r="B305" s="8" t="str">
        <f t="shared" si="22"/>
        <v>←</v>
      </c>
      <c r="C305" s="11">
        <f t="shared" si="23"/>
        <v>0.16800000000000001</v>
      </c>
      <c r="D305" s="2">
        <v>1658200660602</v>
      </c>
      <c r="E305" t="s">
        <v>0</v>
      </c>
      <c r="F305" s="1">
        <v>9</v>
      </c>
      <c r="G305" s="1">
        <v>31</v>
      </c>
      <c r="H305" s="1">
        <v>21</v>
      </c>
      <c r="I305" s="1" t="s">
        <v>1</v>
      </c>
      <c r="J305" s="1">
        <v>0</v>
      </c>
      <c r="K305" s="1">
        <v>0</v>
      </c>
      <c r="L305" s="1">
        <v>0</v>
      </c>
      <c r="M305" s="1">
        <v>0</v>
      </c>
      <c r="N305" s="1" t="s">
        <v>21</v>
      </c>
      <c r="O305" s="1" t="s">
        <v>22</v>
      </c>
      <c r="R305" t="str">
        <f t="shared" si="20"/>
        <v>FURNACE STATUS RESPONSE Fan:0 Ignition:0 Burner:0 Unknown:0</v>
      </c>
    </row>
    <row r="306" spans="1:18" hidden="1" x14ac:dyDescent="0.25">
      <c r="A306" s="3">
        <f t="shared" si="21"/>
        <v>44761.55462422454</v>
      </c>
      <c r="B306" s="8" t="str">
        <f t="shared" si="22"/>
        <v>→</v>
      </c>
      <c r="C306" s="11">
        <f t="shared" si="23"/>
        <v>58.930999999999997</v>
      </c>
      <c r="D306" s="2">
        <v>1658200719533</v>
      </c>
      <c r="E306" t="s">
        <v>0</v>
      </c>
      <c r="F306" s="1">
        <v>8</v>
      </c>
      <c r="G306" s="1">
        <v>21</v>
      </c>
      <c r="H306" s="1">
        <v>31</v>
      </c>
      <c r="I306" s="1">
        <v>7</v>
      </c>
      <c r="J306" s="1" t="s">
        <v>70</v>
      </c>
      <c r="K306" s="1" t="s">
        <v>70</v>
      </c>
      <c r="L306" s="1">
        <v>1</v>
      </c>
      <c r="M306" s="1" t="s">
        <v>61</v>
      </c>
      <c r="N306" s="1" t="s">
        <v>57</v>
      </c>
      <c r="R306" t="str">
        <f t="shared" si="20"/>
        <v>TIME 13:13 Tue</v>
      </c>
    </row>
    <row r="307" spans="1:18" hidden="1" x14ac:dyDescent="0.25">
      <c r="A307" s="3">
        <f t="shared" si="21"/>
        <v>44761.554625729164</v>
      </c>
      <c r="B307" s="8" t="str">
        <f t="shared" si="22"/>
        <v>←</v>
      </c>
      <c r="C307" s="11">
        <f t="shared" si="23"/>
        <v>0.13</v>
      </c>
      <c r="D307" s="2">
        <v>1658200719663</v>
      </c>
      <c r="E307" t="s">
        <v>0</v>
      </c>
      <c r="F307" s="1">
        <v>5</v>
      </c>
      <c r="G307" s="1">
        <v>31</v>
      </c>
      <c r="H307" s="1">
        <v>21</v>
      </c>
      <c r="I307" s="1" t="s">
        <v>6</v>
      </c>
      <c r="J307" s="1">
        <v>3</v>
      </c>
      <c r="K307" s="1" t="s">
        <v>7</v>
      </c>
      <c r="R307" t="str">
        <f t="shared" si="20"/>
        <v>Ack</v>
      </c>
    </row>
    <row r="308" spans="1:18" hidden="1" x14ac:dyDescent="0.25">
      <c r="A308" s="3">
        <f t="shared" si="21"/>
        <v>44761.554627037032</v>
      </c>
      <c r="B308" s="8" t="str">
        <f t="shared" si="22"/>
        <v>→</v>
      </c>
      <c r="C308" s="11">
        <f t="shared" si="23"/>
        <v>0.113</v>
      </c>
      <c r="D308" s="2">
        <v>1658200719776</v>
      </c>
      <c r="E308" t="s">
        <v>0</v>
      </c>
      <c r="F308" s="1">
        <v>5</v>
      </c>
      <c r="G308" s="1">
        <v>21</v>
      </c>
      <c r="H308" s="1">
        <v>31</v>
      </c>
      <c r="I308" s="1">
        <v>9</v>
      </c>
      <c r="J308" s="1">
        <v>60</v>
      </c>
      <c r="K308" s="1" t="s">
        <v>11</v>
      </c>
      <c r="R308" t="str">
        <f t="shared" si="20"/>
        <v>PING FURNACE</v>
      </c>
    </row>
    <row r="309" spans="1:18" hidden="1" x14ac:dyDescent="0.25">
      <c r="A309" s="3">
        <f t="shared" si="21"/>
        <v>44761.554628425925</v>
      </c>
      <c r="B309" s="8" t="str">
        <f t="shared" si="22"/>
        <v>←</v>
      </c>
      <c r="C309" s="11">
        <f t="shared" si="23"/>
        <v>0.12</v>
      </c>
      <c r="D309" s="2">
        <v>1658200719896</v>
      </c>
      <c r="E309" t="s">
        <v>0</v>
      </c>
      <c r="F309" s="1">
        <v>5</v>
      </c>
      <c r="G309" s="1">
        <v>31</v>
      </c>
      <c r="H309" s="1">
        <v>21</v>
      </c>
      <c r="I309" s="1" t="s">
        <v>6</v>
      </c>
      <c r="J309" s="1">
        <v>3</v>
      </c>
      <c r="K309" s="1" t="s">
        <v>7</v>
      </c>
      <c r="R309" t="str">
        <f t="shared" si="20"/>
        <v>Ack</v>
      </c>
    </row>
    <row r="310" spans="1:18" hidden="1" x14ac:dyDescent="0.25">
      <c r="A310" s="3">
        <f t="shared" si="21"/>
        <v>44761.554630300925</v>
      </c>
      <c r="B310" s="8" t="str">
        <f t="shared" si="22"/>
        <v>→</v>
      </c>
      <c r="C310" s="11">
        <f t="shared" si="23"/>
        <v>0.16200000000000001</v>
      </c>
      <c r="D310" s="2">
        <v>1658200720058</v>
      </c>
      <c r="E310" t="s">
        <v>0</v>
      </c>
      <c r="F310" s="1" t="s">
        <v>3</v>
      </c>
      <c r="G310" s="1">
        <v>21</v>
      </c>
      <c r="H310" s="1">
        <v>31</v>
      </c>
      <c r="I310" s="1" t="s">
        <v>3</v>
      </c>
      <c r="J310" s="1">
        <v>0</v>
      </c>
      <c r="K310" s="1">
        <v>12</v>
      </c>
      <c r="L310" s="1">
        <v>25</v>
      </c>
      <c r="M310" s="1">
        <v>1</v>
      </c>
      <c r="N310" s="1">
        <v>0</v>
      </c>
      <c r="O310" s="1">
        <v>0</v>
      </c>
      <c r="P310" s="1">
        <v>32</v>
      </c>
      <c r="Q310" s="1">
        <v>81</v>
      </c>
      <c r="R310" t="str">
        <f t="shared" si="20"/>
        <v>TEMPERATURE INFO Set:18 Actual:18.5 Countdown:0</v>
      </c>
    </row>
    <row r="311" spans="1:18" hidden="1" x14ac:dyDescent="0.25">
      <c r="A311" s="3">
        <f t="shared" si="21"/>
        <v>44761.554631678235</v>
      </c>
      <c r="B311" s="8" t="str">
        <f t="shared" si="22"/>
        <v>←</v>
      </c>
      <c r="C311" s="11">
        <f t="shared" si="23"/>
        <v>0.11899999999999999</v>
      </c>
      <c r="D311" s="2">
        <v>1658200720177</v>
      </c>
      <c r="E311" t="s">
        <v>0</v>
      </c>
      <c r="F311" s="1">
        <v>5</v>
      </c>
      <c r="G311" s="1">
        <v>31</v>
      </c>
      <c r="H311" s="1">
        <v>21</v>
      </c>
      <c r="I311" s="1" t="s">
        <v>6</v>
      </c>
      <c r="J311" s="1">
        <v>3</v>
      </c>
      <c r="K311" s="1" t="s">
        <v>7</v>
      </c>
      <c r="R311" t="str">
        <f t="shared" si="20"/>
        <v>Ack</v>
      </c>
    </row>
    <row r="312" spans="1:18" x14ac:dyDescent="0.25">
      <c r="A312" s="3">
        <f t="shared" si="21"/>
        <v>44761.554632997686</v>
      </c>
      <c r="B312" s="8" t="str">
        <f t="shared" si="22"/>
        <v>→</v>
      </c>
      <c r="C312" s="11">
        <f t="shared" si="23"/>
        <v>0.114</v>
      </c>
      <c r="D312" s="2">
        <v>1658200720291</v>
      </c>
      <c r="E312" t="s">
        <v>0</v>
      </c>
      <c r="F312" s="1">
        <v>6</v>
      </c>
      <c r="G312" s="1">
        <v>21</v>
      </c>
      <c r="H312" s="1">
        <v>31</v>
      </c>
      <c r="I312" s="1">
        <v>29</v>
      </c>
      <c r="J312" s="1">
        <v>0</v>
      </c>
      <c r="K312" s="1" t="s">
        <v>13</v>
      </c>
      <c r="L312" s="1" t="s">
        <v>14</v>
      </c>
      <c r="R312" t="str">
        <f t="shared" si="20"/>
        <v>LONG PING FURNACE</v>
      </c>
    </row>
    <row r="313" spans="1:18" hidden="1" x14ac:dyDescent="0.25">
      <c r="A313" s="3">
        <f t="shared" si="21"/>
        <v>44761.554634421293</v>
      </c>
      <c r="B313" s="8" t="str">
        <f t="shared" si="22"/>
        <v>←</v>
      </c>
      <c r="C313" s="11">
        <f t="shared" si="23"/>
        <v>0.123</v>
      </c>
      <c r="D313" s="2">
        <v>1658200720414</v>
      </c>
      <c r="E313" t="s">
        <v>0</v>
      </c>
      <c r="F313" s="1">
        <v>5</v>
      </c>
      <c r="G313" s="1">
        <v>31</v>
      </c>
      <c r="H313" s="1">
        <v>21</v>
      </c>
      <c r="I313" s="1" t="s">
        <v>6</v>
      </c>
      <c r="J313" s="1">
        <v>3</v>
      </c>
      <c r="K313" s="1" t="s">
        <v>7</v>
      </c>
      <c r="R313" t="str">
        <f t="shared" si="20"/>
        <v>Ack</v>
      </c>
    </row>
    <row r="314" spans="1:18" hidden="1" x14ac:dyDescent="0.25">
      <c r="A314" s="3">
        <f t="shared" si="21"/>
        <v>44761.554635439818</v>
      </c>
      <c r="B314" s="8" t="str">
        <f t="shared" si="22"/>
        <v>→</v>
      </c>
      <c r="C314" s="11">
        <f t="shared" si="23"/>
        <v>8.7999999999999995E-2</v>
      </c>
      <c r="D314" s="2">
        <v>1658200720502</v>
      </c>
      <c r="E314" t="s">
        <v>0</v>
      </c>
      <c r="F314" s="1">
        <v>5</v>
      </c>
      <c r="G314" s="1">
        <v>21</v>
      </c>
      <c r="H314" s="1">
        <v>31</v>
      </c>
      <c r="I314" s="1">
        <v>6</v>
      </c>
      <c r="J314" s="1">
        <v>60</v>
      </c>
      <c r="K314" s="1">
        <v>83</v>
      </c>
      <c r="R314" t="str">
        <f t="shared" si="20"/>
        <v>FURNACE STATUS REQUEST</v>
      </c>
    </row>
    <row r="315" spans="1:18" hidden="1" x14ac:dyDescent="0.25">
      <c r="A315" s="3">
        <f t="shared" si="21"/>
        <v>44761.554637442132</v>
      </c>
      <c r="B315" s="8" t="str">
        <f t="shared" si="22"/>
        <v>←</v>
      </c>
      <c r="C315" s="11">
        <f t="shared" si="23"/>
        <v>0.17299999999999999</v>
      </c>
      <c r="D315" s="2">
        <v>1658200720675</v>
      </c>
      <c r="E315" t="s">
        <v>0</v>
      </c>
      <c r="F315" s="1">
        <v>9</v>
      </c>
      <c r="G315" s="1">
        <v>31</v>
      </c>
      <c r="H315" s="1">
        <v>21</v>
      </c>
      <c r="I315" s="1" t="s">
        <v>1</v>
      </c>
      <c r="J315" s="1">
        <v>0</v>
      </c>
      <c r="K315" s="1">
        <v>0</v>
      </c>
      <c r="L315" s="1">
        <v>0</v>
      </c>
      <c r="M315" s="1">
        <v>0</v>
      </c>
      <c r="N315" s="1" t="s">
        <v>21</v>
      </c>
      <c r="O315" s="1" t="s">
        <v>22</v>
      </c>
      <c r="R315" t="str">
        <f t="shared" si="20"/>
        <v>FURNACE STATUS RESPONSE Fan:0 Ignition:0 Burner:0 Unknown:0</v>
      </c>
    </row>
    <row r="316" spans="1:18" hidden="1" x14ac:dyDescent="0.25">
      <c r="A316" s="3">
        <f t="shared" si="21"/>
        <v>44761.555318460647</v>
      </c>
      <c r="B316" s="8" t="str">
        <f t="shared" si="22"/>
        <v>→</v>
      </c>
      <c r="C316" s="11">
        <f t="shared" si="23"/>
        <v>58.84</v>
      </c>
      <c r="D316" s="2">
        <v>1658200779515</v>
      </c>
      <c r="E316" t="s">
        <v>0</v>
      </c>
      <c r="F316" s="1">
        <v>8</v>
      </c>
      <c r="G316" s="1">
        <v>21</v>
      </c>
      <c r="H316" s="1">
        <v>31</v>
      </c>
      <c r="I316" s="1">
        <v>7</v>
      </c>
      <c r="J316" s="1" t="s">
        <v>70</v>
      </c>
      <c r="K316" s="1" t="s">
        <v>72</v>
      </c>
      <c r="L316" s="1">
        <v>1</v>
      </c>
      <c r="M316" s="1">
        <v>30</v>
      </c>
      <c r="N316" s="1" t="s">
        <v>57</v>
      </c>
      <c r="R316" t="str">
        <f t="shared" si="20"/>
        <v>TIME 13:14 Tue</v>
      </c>
    </row>
    <row r="317" spans="1:18" hidden="1" x14ac:dyDescent="0.25">
      <c r="A317" s="3">
        <f t="shared" si="21"/>
        <v>44761.5553196412</v>
      </c>
      <c r="B317" s="8" t="str">
        <f t="shared" si="22"/>
        <v>←</v>
      </c>
      <c r="C317" s="11">
        <f t="shared" si="23"/>
        <v>0.10199999999999999</v>
      </c>
      <c r="D317" s="2">
        <v>1658200779617</v>
      </c>
      <c r="E317" t="s">
        <v>0</v>
      </c>
      <c r="F317" s="1">
        <v>5</v>
      </c>
      <c r="G317" s="1">
        <v>31</v>
      </c>
      <c r="H317" s="1">
        <v>21</v>
      </c>
      <c r="I317" s="1" t="s">
        <v>6</v>
      </c>
      <c r="J317" s="1">
        <v>3</v>
      </c>
      <c r="K317" s="1" t="s">
        <v>7</v>
      </c>
      <c r="R317" t="str">
        <f t="shared" si="20"/>
        <v>Ack</v>
      </c>
    </row>
    <row r="318" spans="1:18" hidden="1" x14ac:dyDescent="0.25">
      <c r="A318" s="3">
        <f t="shared" si="21"/>
        <v>44761.555321111104</v>
      </c>
      <c r="B318" s="8" t="str">
        <f t="shared" si="22"/>
        <v>→</v>
      </c>
      <c r="C318" s="11">
        <f t="shared" si="23"/>
        <v>0.127</v>
      </c>
      <c r="D318" s="2">
        <v>1658200779744</v>
      </c>
      <c r="E318" t="s">
        <v>0</v>
      </c>
      <c r="F318" s="1">
        <v>5</v>
      </c>
      <c r="G318" s="1">
        <v>21</v>
      </c>
      <c r="H318" s="1">
        <v>31</v>
      </c>
      <c r="I318" s="1">
        <v>9</v>
      </c>
      <c r="J318" s="1">
        <v>60</v>
      </c>
      <c r="K318" s="1" t="s">
        <v>11</v>
      </c>
      <c r="R318" t="str">
        <f t="shared" si="20"/>
        <v>PING FURNACE</v>
      </c>
    </row>
    <row r="319" spans="1:18" hidden="1" x14ac:dyDescent="0.25">
      <c r="A319" s="3">
        <f t="shared" si="21"/>
        <v>44761.555322499997</v>
      </c>
      <c r="B319" s="8" t="str">
        <f t="shared" si="22"/>
        <v>←</v>
      </c>
      <c r="C319" s="11">
        <f t="shared" si="23"/>
        <v>0.12</v>
      </c>
      <c r="D319" s="2">
        <v>1658200779864</v>
      </c>
      <c r="E319" t="s">
        <v>0</v>
      </c>
      <c r="F319" s="1">
        <v>5</v>
      </c>
      <c r="G319" s="1">
        <v>31</v>
      </c>
      <c r="H319" s="1">
        <v>21</v>
      </c>
      <c r="I319" s="1" t="s">
        <v>6</v>
      </c>
      <c r="J319" s="1">
        <v>3</v>
      </c>
      <c r="K319" s="1" t="s">
        <v>7</v>
      </c>
      <c r="R319" t="str">
        <f t="shared" si="20"/>
        <v>Ack</v>
      </c>
    </row>
    <row r="320" spans="1:18" hidden="1" x14ac:dyDescent="0.25">
      <c r="A320" s="3">
        <f t="shared" si="21"/>
        <v>44761.555324409717</v>
      </c>
      <c r="B320" s="8" t="str">
        <f t="shared" si="22"/>
        <v>→</v>
      </c>
      <c r="C320" s="11">
        <f t="shared" si="23"/>
        <v>0.16500000000000001</v>
      </c>
      <c r="D320" s="2">
        <v>1658200780029</v>
      </c>
      <c r="E320" t="s">
        <v>0</v>
      </c>
      <c r="F320" s="1" t="s">
        <v>3</v>
      </c>
      <c r="G320" s="1">
        <v>21</v>
      </c>
      <c r="H320" s="1">
        <v>31</v>
      </c>
      <c r="I320" s="1" t="s">
        <v>3</v>
      </c>
      <c r="J320" s="1">
        <v>0</v>
      </c>
      <c r="K320" s="1">
        <v>12</v>
      </c>
      <c r="L320" s="1">
        <v>25</v>
      </c>
      <c r="M320" s="1">
        <v>1</v>
      </c>
      <c r="N320" s="1">
        <v>0</v>
      </c>
      <c r="O320" s="1">
        <v>0</v>
      </c>
      <c r="P320" s="1">
        <v>32</v>
      </c>
      <c r="Q320" s="1">
        <v>81</v>
      </c>
      <c r="R320" t="str">
        <f t="shared" si="20"/>
        <v>TEMPERATURE INFO Set:18 Actual:18.5 Countdown:0</v>
      </c>
    </row>
    <row r="321" spans="1:18" hidden="1" x14ac:dyDescent="0.25">
      <c r="A321" s="3">
        <f t="shared" si="21"/>
        <v>44761.555325682864</v>
      </c>
      <c r="B321" s="8" t="str">
        <f t="shared" si="22"/>
        <v>←</v>
      </c>
      <c r="C321" s="11">
        <f t="shared" si="23"/>
        <v>0.11</v>
      </c>
      <c r="D321" s="2">
        <v>1658200780139</v>
      </c>
      <c r="E321" t="s">
        <v>0</v>
      </c>
      <c r="F321" s="1">
        <v>5</v>
      </c>
      <c r="G321" s="1">
        <v>31</v>
      </c>
      <c r="H321" s="1">
        <v>21</v>
      </c>
      <c r="I321" s="1" t="s">
        <v>6</v>
      </c>
      <c r="J321" s="1">
        <v>3</v>
      </c>
      <c r="K321" s="1" t="s">
        <v>7</v>
      </c>
      <c r="R321" t="str">
        <f t="shared" si="20"/>
        <v>Ack</v>
      </c>
    </row>
    <row r="322" spans="1:18" x14ac:dyDescent="0.25">
      <c r="A322" s="3">
        <f t="shared" si="21"/>
        <v>44761.555326828697</v>
      </c>
      <c r="B322" s="8" t="str">
        <f t="shared" si="22"/>
        <v>→</v>
      </c>
      <c r="C322" s="11">
        <f t="shared" si="23"/>
        <v>9.9000000000000005E-2</v>
      </c>
      <c r="D322" s="2">
        <v>1658200780238</v>
      </c>
      <c r="E322" t="s">
        <v>0</v>
      </c>
      <c r="F322" s="1">
        <v>6</v>
      </c>
      <c r="G322" s="1">
        <v>21</v>
      </c>
      <c r="H322" s="1">
        <v>31</v>
      </c>
      <c r="I322" s="1">
        <v>29</v>
      </c>
      <c r="J322" s="1">
        <v>0</v>
      </c>
      <c r="K322" s="1" t="s">
        <v>13</v>
      </c>
      <c r="L322" s="1" t="s">
        <v>14</v>
      </c>
      <c r="R322" t="str">
        <f t="shared" si="20"/>
        <v>LONG PING FURNACE</v>
      </c>
    </row>
    <row r="323" spans="1:18" hidden="1" x14ac:dyDescent="0.25">
      <c r="A323" s="3">
        <f t="shared" si="21"/>
        <v>44761.555328321752</v>
      </c>
      <c r="B323" s="8" t="str">
        <f t="shared" si="22"/>
        <v>←</v>
      </c>
      <c r="C323" s="11">
        <f t="shared" si="23"/>
        <v>0.129</v>
      </c>
      <c r="D323" s="2">
        <v>1658200780367</v>
      </c>
      <c r="E323" t="s">
        <v>0</v>
      </c>
      <c r="F323" s="1">
        <v>5</v>
      </c>
      <c r="G323" s="1">
        <v>31</v>
      </c>
      <c r="H323" s="1">
        <v>21</v>
      </c>
      <c r="I323" s="1" t="s">
        <v>6</v>
      </c>
      <c r="J323" s="1">
        <v>3</v>
      </c>
      <c r="K323" s="1" t="s">
        <v>7</v>
      </c>
      <c r="R323" t="str">
        <f t="shared" ref="R323:R386" si="24">IF(E323="Ok",_xlfn.SWITCH(I323,5,"FURNACE STATUS REPORT Fan:"&amp;IF(_xlfn.BITAND(HEX2DEC(K323),1),"1","0")&amp;" Ignition:"&amp;IF(_xlfn.BITAND(HEX2DEC(K323),2),"1","0")&amp;" Burner:"&amp;IF(_xlfn.BITAND(HEX2DEC(K323),4),"1","0")&amp;" Unknown:"&amp;DEC2HEX(_xlfn.BITAND(HEX2DEC(K323),248)),6,"FURNACE STATUS REQUEST",7,"TIME "&amp;HEX2DEC(J323)&amp;":"&amp;HEX2DEC(K323)&amp;" "&amp;CHOOSE(L323+1,"Mon","Tue","Wed","Thu","Fri","Sat","Sun"),9,"PING FURNACE","0B","TEMPERATURE INFO Set:"&amp;HEX2DEC(K323)&amp;" Actual:"&amp;HEX2DEC(L323)/2&amp;" Countdown:"&amp;HEX2DEC(N323),29,"LONG PING FURNACE","FB","FURNACE STATUS RESPONSE Fan:"&amp;IF(_xlfn.BITAND(HEX2DEC(K323),1),"1","0")&amp;" Ignition:"&amp;IF(_xlfn.BITAND(HEX2DEC(K323),2),"1","0")&amp;" Burner:"&amp;IF(_xlfn.BITAND(HEX2DEC(K323),4),"1","0")&amp;" Unknown:"&amp;DEC2HEX(_xlfn.BITAND(HEX2DEC(K323),248)),"FF","Ack"),"")</f>
        <v>Ack</v>
      </c>
    </row>
    <row r="324" spans="1:18" hidden="1" x14ac:dyDescent="0.25">
      <c r="A324" s="3">
        <f t="shared" si="21"/>
        <v>44761.555329305549</v>
      </c>
      <c r="B324" s="8" t="str">
        <f t="shared" si="22"/>
        <v>→</v>
      </c>
      <c r="C324" s="11">
        <f t="shared" si="23"/>
        <v>8.5000000000000006E-2</v>
      </c>
      <c r="D324" s="2">
        <v>1658200780452</v>
      </c>
      <c r="E324" t="s">
        <v>0</v>
      </c>
      <c r="F324" s="1">
        <v>5</v>
      </c>
      <c r="G324" s="1">
        <v>21</v>
      </c>
      <c r="H324" s="1">
        <v>31</v>
      </c>
      <c r="I324" s="1">
        <v>6</v>
      </c>
      <c r="J324" s="1">
        <v>60</v>
      </c>
      <c r="K324" s="1">
        <v>83</v>
      </c>
      <c r="R324" t="str">
        <f t="shared" si="24"/>
        <v>FURNACE STATUS REQUEST</v>
      </c>
    </row>
    <row r="325" spans="1:18" hidden="1" x14ac:dyDescent="0.25">
      <c r="A325" s="3">
        <f t="shared" si="21"/>
        <v>44761.555331145828</v>
      </c>
      <c r="B325" s="8" t="str">
        <f t="shared" si="22"/>
        <v>←</v>
      </c>
      <c r="C325" s="11">
        <f t="shared" si="23"/>
        <v>0.159</v>
      </c>
      <c r="D325" s="2">
        <v>1658200780611</v>
      </c>
      <c r="E325" t="s">
        <v>0</v>
      </c>
      <c r="F325" s="1">
        <v>9</v>
      </c>
      <c r="G325" s="1">
        <v>31</v>
      </c>
      <c r="H325" s="1">
        <v>21</v>
      </c>
      <c r="I325" s="1" t="s">
        <v>1</v>
      </c>
      <c r="J325" s="1">
        <v>0</v>
      </c>
      <c r="K325" s="1">
        <v>0</v>
      </c>
      <c r="L325" s="1">
        <v>0</v>
      </c>
      <c r="M325" s="1">
        <v>0</v>
      </c>
      <c r="N325" s="1" t="s">
        <v>21</v>
      </c>
      <c r="O325" s="1" t="s">
        <v>22</v>
      </c>
      <c r="R325" t="str">
        <f t="shared" si="24"/>
        <v>FURNACE STATUS RESPONSE Fan:0 Ignition:0 Burner:0 Unknown:0</v>
      </c>
    </row>
    <row r="326" spans="1:18" hidden="1" x14ac:dyDescent="0.25">
      <c r="A326" s="3">
        <f t="shared" si="21"/>
        <v>44761.556013182868</v>
      </c>
      <c r="B326" s="8" t="str">
        <f t="shared" si="22"/>
        <v>→</v>
      </c>
      <c r="C326" s="11">
        <f t="shared" si="23"/>
        <v>58.927999999999997</v>
      </c>
      <c r="D326" s="2">
        <v>1658200839539</v>
      </c>
      <c r="E326" t="s">
        <v>0</v>
      </c>
      <c r="F326" s="1">
        <v>8</v>
      </c>
      <c r="G326" s="1">
        <v>21</v>
      </c>
      <c r="H326" s="1">
        <v>31</v>
      </c>
      <c r="I326" s="1">
        <v>7</v>
      </c>
      <c r="J326" s="1" t="s">
        <v>70</v>
      </c>
      <c r="K326" s="1" t="s">
        <v>74</v>
      </c>
      <c r="L326" s="1">
        <v>1</v>
      </c>
      <c r="M326" s="1" t="s">
        <v>82</v>
      </c>
      <c r="N326" s="1" t="s">
        <v>109</v>
      </c>
      <c r="R326" t="str">
        <f t="shared" si="24"/>
        <v>TIME 13:15 Tue</v>
      </c>
    </row>
    <row r="327" spans="1:18" hidden="1" x14ac:dyDescent="0.25">
      <c r="A327" s="3">
        <f t="shared" si="21"/>
        <v>44761.556014675924</v>
      </c>
      <c r="B327" s="8" t="str">
        <f t="shared" si="22"/>
        <v>←</v>
      </c>
      <c r="C327" s="11">
        <f t="shared" si="23"/>
        <v>0.129</v>
      </c>
      <c r="D327" s="2">
        <v>1658200839668</v>
      </c>
      <c r="E327" t="s">
        <v>0</v>
      </c>
      <c r="F327" s="1">
        <v>5</v>
      </c>
      <c r="G327" s="1">
        <v>31</v>
      </c>
      <c r="H327" s="1">
        <v>21</v>
      </c>
      <c r="I327" s="1" t="s">
        <v>6</v>
      </c>
      <c r="J327" s="1">
        <v>3</v>
      </c>
      <c r="K327" s="1" t="s">
        <v>7</v>
      </c>
      <c r="R327" t="str">
        <f t="shared" si="24"/>
        <v>Ack</v>
      </c>
    </row>
    <row r="328" spans="1:18" hidden="1" x14ac:dyDescent="0.25">
      <c r="A328" s="3">
        <f t="shared" si="21"/>
        <v>44761.556015891205</v>
      </c>
      <c r="B328" s="8" t="str">
        <f t="shared" si="22"/>
        <v>→</v>
      </c>
      <c r="C328" s="11">
        <f t="shared" si="23"/>
        <v>0.105</v>
      </c>
      <c r="D328" s="2">
        <v>1658200839773</v>
      </c>
      <c r="E328" t="s">
        <v>0</v>
      </c>
      <c r="F328" s="1">
        <v>5</v>
      </c>
      <c r="G328" s="1">
        <v>21</v>
      </c>
      <c r="H328" s="1">
        <v>31</v>
      </c>
      <c r="I328" s="1">
        <v>9</v>
      </c>
      <c r="J328" s="1">
        <v>60</v>
      </c>
      <c r="K328" s="1" t="s">
        <v>11</v>
      </c>
      <c r="R328" t="str">
        <f t="shared" si="24"/>
        <v>PING FURNACE</v>
      </c>
    </row>
    <row r="329" spans="1:18" hidden="1" x14ac:dyDescent="0.25">
      <c r="A329" s="3">
        <f t="shared" si="21"/>
        <v>44761.55601753472</v>
      </c>
      <c r="B329" s="8" t="str">
        <f t="shared" si="22"/>
        <v>←</v>
      </c>
      <c r="C329" s="11">
        <f t="shared" si="23"/>
        <v>0.14199999999999999</v>
      </c>
      <c r="D329" s="2">
        <v>1658200839915</v>
      </c>
      <c r="E329" t="s">
        <v>0</v>
      </c>
      <c r="F329" s="1">
        <v>5</v>
      </c>
      <c r="G329" s="1">
        <v>31</v>
      </c>
      <c r="H329" s="1">
        <v>21</v>
      </c>
      <c r="I329" s="1" t="s">
        <v>6</v>
      </c>
      <c r="J329" s="1">
        <v>3</v>
      </c>
      <c r="K329" s="1" t="s">
        <v>7</v>
      </c>
      <c r="R329" t="str">
        <f t="shared" si="24"/>
        <v>Ack</v>
      </c>
    </row>
    <row r="330" spans="1:18" hidden="1" x14ac:dyDescent="0.25">
      <c r="A330" s="3">
        <f t="shared" si="21"/>
        <v>44761.556019178235</v>
      </c>
      <c r="B330" s="8" t="str">
        <f t="shared" si="22"/>
        <v>→</v>
      </c>
      <c r="C330" s="11">
        <f t="shared" si="23"/>
        <v>0.14199999999999999</v>
      </c>
      <c r="D330" s="2">
        <v>1658200840057</v>
      </c>
      <c r="E330" t="s">
        <v>0</v>
      </c>
      <c r="F330" s="1" t="s">
        <v>3</v>
      </c>
      <c r="G330" s="1">
        <v>21</v>
      </c>
      <c r="H330" s="1">
        <v>31</v>
      </c>
      <c r="I330" s="1" t="s">
        <v>3</v>
      </c>
      <c r="J330" s="1">
        <v>0</v>
      </c>
      <c r="K330" s="1">
        <v>12</v>
      </c>
      <c r="L330" s="1">
        <v>25</v>
      </c>
      <c r="M330" s="1">
        <v>1</v>
      </c>
      <c r="N330" s="1">
        <v>0</v>
      </c>
      <c r="O330" s="1">
        <v>0</v>
      </c>
      <c r="P330" s="1">
        <v>32</v>
      </c>
      <c r="Q330" s="1">
        <v>81</v>
      </c>
      <c r="R330" t="str">
        <f t="shared" si="24"/>
        <v>TEMPERATURE INFO Set:18 Actual:18.5 Countdown:0</v>
      </c>
    </row>
    <row r="331" spans="1:18" hidden="1" x14ac:dyDescent="0.25">
      <c r="A331" s="3">
        <f t="shared" si="21"/>
        <v>44761.556020752316</v>
      </c>
      <c r="B331" s="8" t="str">
        <f t="shared" si="22"/>
        <v>←</v>
      </c>
      <c r="C331" s="11">
        <f t="shared" si="23"/>
        <v>0.13600000000000001</v>
      </c>
      <c r="D331" s="2">
        <v>1658200840193</v>
      </c>
      <c r="E331" t="s">
        <v>0</v>
      </c>
      <c r="F331" s="1">
        <v>5</v>
      </c>
      <c r="G331" s="1">
        <v>31</v>
      </c>
      <c r="H331" s="1">
        <v>21</v>
      </c>
      <c r="I331" s="1" t="s">
        <v>6</v>
      </c>
      <c r="J331" s="1">
        <v>3</v>
      </c>
      <c r="K331" s="1" t="s">
        <v>7</v>
      </c>
      <c r="R331" t="str">
        <f t="shared" si="24"/>
        <v>Ack</v>
      </c>
    </row>
    <row r="332" spans="1:18" x14ac:dyDescent="0.25">
      <c r="A332" s="3">
        <f t="shared" si="21"/>
        <v>44761.55602196759</v>
      </c>
      <c r="B332" s="8" t="str">
        <f t="shared" si="22"/>
        <v>→</v>
      </c>
      <c r="C332" s="11">
        <f t="shared" si="23"/>
        <v>0.105</v>
      </c>
      <c r="D332" s="2">
        <v>1658200840298</v>
      </c>
      <c r="E332" t="s">
        <v>0</v>
      </c>
      <c r="F332" s="1">
        <v>6</v>
      </c>
      <c r="G332" s="1">
        <v>21</v>
      </c>
      <c r="H332" s="1">
        <v>31</v>
      </c>
      <c r="I332" s="1">
        <v>29</v>
      </c>
      <c r="J332" s="1">
        <v>0</v>
      </c>
      <c r="K332" s="1" t="s">
        <v>13</v>
      </c>
      <c r="L332" s="1" t="s">
        <v>14</v>
      </c>
      <c r="R332" t="str">
        <f t="shared" si="24"/>
        <v>LONG PING FURNACE</v>
      </c>
    </row>
    <row r="333" spans="1:18" hidden="1" x14ac:dyDescent="0.25">
      <c r="A333" s="3">
        <f t="shared" si="21"/>
        <v>44761.556023437493</v>
      </c>
      <c r="B333" s="8" t="str">
        <f t="shared" si="22"/>
        <v>←</v>
      </c>
      <c r="C333" s="11">
        <f t="shared" si="23"/>
        <v>0.127</v>
      </c>
      <c r="D333" s="2">
        <v>1658200840425</v>
      </c>
      <c r="E333" t="s">
        <v>0</v>
      </c>
      <c r="F333" s="1">
        <v>5</v>
      </c>
      <c r="G333" s="1">
        <v>31</v>
      </c>
      <c r="H333" s="1">
        <v>21</v>
      </c>
      <c r="I333" s="1" t="s">
        <v>6</v>
      </c>
      <c r="J333" s="1">
        <v>3</v>
      </c>
      <c r="K333" s="1" t="s">
        <v>7</v>
      </c>
      <c r="R333" t="str">
        <f t="shared" si="24"/>
        <v>Ack</v>
      </c>
    </row>
    <row r="334" spans="1:18" hidden="1" x14ac:dyDescent="0.25">
      <c r="A334" s="3">
        <f t="shared" si="21"/>
        <v>44761.55602442129</v>
      </c>
      <c r="B334" s="8" t="str">
        <f t="shared" si="22"/>
        <v>→</v>
      </c>
      <c r="C334" s="11">
        <f t="shared" si="23"/>
        <v>8.5000000000000006E-2</v>
      </c>
      <c r="D334" s="2">
        <v>1658200840510</v>
      </c>
      <c r="E334" t="s">
        <v>0</v>
      </c>
      <c r="F334" s="1">
        <v>5</v>
      </c>
      <c r="G334" s="1">
        <v>21</v>
      </c>
      <c r="H334" s="1">
        <v>31</v>
      </c>
      <c r="I334" s="1">
        <v>6</v>
      </c>
      <c r="J334" s="1">
        <v>60</v>
      </c>
      <c r="K334" s="1">
        <v>83</v>
      </c>
      <c r="R334" t="str">
        <f t="shared" si="24"/>
        <v>FURNACE STATUS REQUEST</v>
      </c>
    </row>
    <row r="335" spans="1:18" hidden="1" x14ac:dyDescent="0.25">
      <c r="A335" s="3">
        <f t="shared" si="21"/>
        <v>44761.556026689817</v>
      </c>
      <c r="B335" s="8" t="str">
        <f t="shared" si="22"/>
        <v>←</v>
      </c>
      <c r="C335" s="11">
        <f t="shared" si="23"/>
        <v>0.19600000000000001</v>
      </c>
      <c r="D335" s="2">
        <v>1658200840706</v>
      </c>
      <c r="E335" t="s">
        <v>0</v>
      </c>
      <c r="F335" s="1">
        <v>9</v>
      </c>
      <c r="G335" s="1">
        <v>31</v>
      </c>
      <c r="H335" s="1">
        <v>21</v>
      </c>
      <c r="I335" s="1" t="s">
        <v>1</v>
      </c>
      <c r="J335" s="1">
        <v>0</v>
      </c>
      <c r="K335" s="1">
        <v>0</v>
      </c>
      <c r="L335" s="1">
        <v>0</v>
      </c>
      <c r="M335" s="1">
        <v>0</v>
      </c>
      <c r="N335" s="1" t="s">
        <v>21</v>
      </c>
      <c r="O335" s="1" t="s">
        <v>22</v>
      </c>
      <c r="R335" t="str">
        <f t="shared" si="24"/>
        <v>FURNACE STATUS RESPONSE Fan:0 Ignition:0 Burner:0 Unknown:0</v>
      </c>
    </row>
    <row r="336" spans="1:18" hidden="1" x14ac:dyDescent="0.25">
      <c r="A336" s="3">
        <f t="shared" si="21"/>
        <v>44761.556510983799</v>
      </c>
      <c r="B336" s="8" t="str">
        <f t="shared" si="22"/>
        <v>→</v>
      </c>
      <c r="C336" s="11">
        <f t="shared" si="23"/>
        <v>41.843000000000004</v>
      </c>
      <c r="D336" s="2">
        <v>1658200882549</v>
      </c>
      <c r="E336" t="s">
        <v>0</v>
      </c>
      <c r="F336" s="1" t="s">
        <v>3</v>
      </c>
      <c r="G336" s="1">
        <v>21</v>
      </c>
      <c r="H336" s="1">
        <v>31</v>
      </c>
      <c r="I336" s="1" t="s">
        <v>3</v>
      </c>
      <c r="J336" s="1" t="s">
        <v>6</v>
      </c>
      <c r="K336" s="1">
        <v>12</v>
      </c>
      <c r="L336" s="1">
        <v>24</v>
      </c>
      <c r="M336" s="1">
        <v>1</v>
      </c>
      <c r="N336" s="1" t="s">
        <v>4</v>
      </c>
      <c r="O336" s="1">
        <v>0</v>
      </c>
      <c r="P336" s="1">
        <v>36</v>
      </c>
      <c r="Q336" s="1">
        <v>78</v>
      </c>
      <c r="R336" t="str">
        <f t="shared" si="24"/>
        <v>TEMPERATURE INFO Set:18 Actual:18 Countdown:180</v>
      </c>
    </row>
    <row r="337" spans="1:18" hidden="1" x14ac:dyDescent="0.25">
      <c r="A337" s="3">
        <f t="shared" si="21"/>
        <v>44761.556512465271</v>
      </c>
      <c r="B337" s="8" t="str">
        <f t="shared" si="22"/>
        <v>←</v>
      </c>
      <c r="C337" s="11">
        <f t="shared" si="23"/>
        <v>0.128</v>
      </c>
      <c r="D337" s="2">
        <v>1658200882677</v>
      </c>
      <c r="E337" t="s">
        <v>0</v>
      </c>
      <c r="F337" s="1">
        <v>5</v>
      </c>
      <c r="G337" s="1">
        <v>31</v>
      </c>
      <c r="H337" s="1">
        <v>21</v>
      </c>
      <c r="I337" s="1" t="s">
        <v>6</v>
      </c>
      <c r="J337" s="1">
        <v>3</v>
      </c>
      <c r="K337" s="1" t="s">
        <v>7</v>
      </c>
      <c r="R337" t="str">
        <f t="shared" si="24"/>
        <v>Ack</v>
      </c>
    </row>
    <row r="338" spans="1:18" hidden="1" x14ac:dyDescent="0.25">
      <c r="A338" s="3">
        <f t="shared" si="21"/>
        <v>44761.556514421296</v>
      </c>
      <c r="B338" s="8" t="str">
        <f t="shared" si="22"/>
        <v>←</v>
      </c>
      <c r="C338" s="11">
        <f t="shared" si="23"/>
        <v>0.16900000000000001</v>
      </c>
      <c r="D338" s="2">
        <v>1658200882846</v>
      </c>
      <c r="E338" t="s">
        <v>0</v>
      </c>
      <c r="F338" s="1">
        <v>9</v>
      </c>
      <c r="G338" s="1">
        <v>31</v>
      </c>
      <c r="H338" s="1">
        <v>21</v>
      </c>
      <c r="I338" s="1">
        <v>5</v>
      </c>
      <c r="J338" s="1">
        <v>0</v>
      </c>
      <c r="K338" s="1">
        <v>23</v>
      </c>
      <c r="L338" s="1">
        <v>0</v>
      </c>
      <c r="M338" s="1">
        <v>0</v>
      </c>
      <c r="N338" s="1" t="s">
        <v>8</v>
      </c>
      <c r="O338" s="1">
        <v>20</v>
      </c>
      <c r="R338" t="str">
        <f t="shared" si="24"/>
        <v>FURNACE STATUS REPORT Fan:1 Ignition:1 Burner:0 Unknown:20</v>
      </c>
    </row>
    <row r="339" spans="1:18" hidden="1" x14ac:dyDescent="0.25">
      <c r="A339" s="3">
        <f t="shared" si="21"/>
        <v>44761.556515601849</v>
      </c>
      <c r="B339" s="8" t="str">
        <f t="shared" si="22"/>
        <v>→</v>
      </c>
      <c r="C339" s="11">
        <f t="shared" si="23"/>
        <v>0.10199999999999999</v>
      </c>
      <c r="D339" s="2">
        <v>1658200882948</v>
      </c>
      <c r="E339" t="s">
        <v>0</v>
      </c>
      <c r="F339" s="1">
        <v>5</v>
      </c>
      <c r="G339" s="1">
        <v>21</v>
      </c>
      <c r="H339" s="1">
        <v>31</v>
      </c>
      <c r="I339" s="1" t="s">
        <v>6</v>
      </c>
      <c r="J339" s="1">
        <v>62</v>
      </c>
      <c r="K339" s="1">
        <v>95</v>
      </c>
      <c r="R339" t="str">
        <f t="shared" si="24"/>
        <v>Ack</v>
      </c>
    </row>
    <row r="340" spans="1:18" hidden="1" x14ac:dyDescent="0.25">
      <c r="A340" s="3">
        <f t="shared" si="21"/>
        <v>44761.556684756943</v>
      </c>
      <c r="B340" s="8" t="str">
        <f t="shared" si="22"/>
        <v>←</v>
      </c>
      <c r="C340" s="11">
        <f t="shared" si="23"/>
        <v>14.615</v>
      </c>
      <c r="D340" s="2">
        <v>1658200897563</v>
      </c>
      <c r="E340" t="s">
        <v>0</v>
      </c>
      <c r="F340" s="1">
        <v>9</v>
      </c>
      <c r="G340" s="1">
        <v>31</v>
      </c>
      <c r="H340" s="1">
        <v>21</v>
      </c>
      <c r="I340" s="1">
        <v>5</v>
      </c>
      <c r="J340" s="1">
        <v>0</v>
      </c>
      <c r="K340" s="1">
        <v>33</v>
      </c>
      <c r="L340" s="1">
        <v>0</v>
      </c>
      <c r="M340" s="1">
        <v>0</v>
      </c>
      <c r="N340" s="1">
        <v>58</v>
      </c>
      <c r="O340" s="1">
        <v>63</v>
      </c>
      <c r="R340" t="str">
        <f t="shared" si="24"/>
        <v>FURNACE STATUS REPORT Fan:1 Ignition:1 Burner:0 Unknown:30</v>
      </c>
    </row>
    <row r="341" spans="1:18" hidden="1" x14ac:dyDescent="0.25">
      <c r="A341" s="3">
        <f t="shared" si="21"/>
        <v>44761.556685520831</v>
      </c>
      <c r="B341" s="8" t="str">
        <f t="shared" si="22"/>
        <v>→</v>
      </c>
      <c r="C341" s="11">
        <f t="shared" si="23"/>
        <v>6.6000000000000003E-2</v>
      </c>
      <c r="D341" s="2">
        <v>1658200897629</v>
      </c>
      <c r="E341" t="s">
        <v>0</v>
      </c>
      <c r="F341" s="1">
        <v>5</v>
      </c>
      <c r="G341" s="1">
        <v>21</v>
      </c>
      <c r="H341" s="1">
        <v>31</v>
      </c>
      <c r="I341" s="1" t="s">
        <v>6</v>
      </c>
      <c r="J341" s="1">
        <v>62</v>
      </c>
      <c r="K341" s="1">
        <v>95</v>
      </c>
      <c r="R341" t="str">
        <f t="shared" si="24"/>
        <v>Ack</v>
      </c>
    </row>
    <row r="342" spans="1:18" hidden="1" x14ac:dyDescent="0.25">
      <c r="A342" s="3">
        <f t="shared" si="21"/>
        <v>44761.556707754622</v>
      </c>
      <c r="B342" s="8" t="str">
        <f t="shared" si="22"/>
        <v>→</v>
      </c>
      <c r="C342" s="11">
        <f t="shared" si="23"/>
        <v>1.921</v>
      </c>
      <c r="D342" s="2">
        <v>1658200899550</v>
      </c>
      <c r="E342" t="s">
        <v>0</v>
      </c>
      <c r="F342" s="1">
        <v>8</v>
      </c>
      <c r="G342" s="1">
        <v>21</v>
      </c>
      <c r="H342" s="1">
        <v>31</v>
      </c>
      <c r="I342" s="1">
        <v>7</v>
      </c>
      <c r="J342" s="1" t="s">
        <v>70</v>
      </c>
      <c r="K342" s="1">
        <v>10</v>
      </c>
      <c r="L342" s="1">
        <v>1</v>
      </c>
      <c r="M342" s="1">
        <v>74</v>
      </c>
      <c r="N342" s="1" t="s">
        <v>57</v>
      </c>
      <c r="R342" t="str">
        <f t="shared" si="24"/>
        <v>TIME 13:16 Tue</v>
      </c>
    </row>
    <row r="343" spans="1:18" hidden="1" x14ac:dyDescent="0.25">
      <c r="A343" s="3">
        <f t="shared" si="21"/>
        <v>44761.556709120363</v>
      </c>
      <c r="B343" s="8" t="str">
        <f t="shared" si="22"/>
        <v>←</v>
      </c>
      <c r="C343" s="11">
        <f t="shared" si="23"/>
        <v>0.11799999999999999</v>
      </c>
      <c r="D343" s="2">
        <v>1658200899668</v>
      </c>
      <c r="E343" t="s">
        <v>0</v>
      </c>
      <c r="F343" s="1">
        <v>5</v>
      </c>
      <c r="G343" s="1">
        <v>31</v>
      </c>
      <c r="H343" s="1">
        <v>21</v>
      </c>
      <c r="I343" s="1" t="s">
        <v>6</v>
      </c>
      <c r="J343" s="1">
        <v>3</v>
      </c>
      <c r="K343" s="1" t="s">
        <v>7</v>
      </c>
      <c r="R343" t="str">
        <f t="shared" si="24"/>
        <v>Ack</v>
      </c>
    </row>
    <row r="344" spans="1:18" hidden="1" x14ac:dyDescent="0.25">
      <c r="A344" s="3">
        <f t="shared" si="21"/>
        <v>44761.556710486104</v>
      </c>
      <c r="B344" s="8" t="str">
        <f t="shared" si="22"/>
        <v>→</v>
      </c>
      <c r="C344" s="11">
        <f t="shared" si="23"/>
        <v>0.11799999999999999</v>
      </c>
      <c r="D344" s="2">
        <v>1658200899786</v>
      </c>
      <c r="E344" t="s">
        <v>0</v>
      </c>
      <c r="F344" s="1">
        <v>5</v>
      </c>
      <c r="G344" s="1">
        <v>21</v>
      </c>
      <c r="H344" s="1">
        <v>31</v>
      </c>
      <c r="I344" s="1">
        <v>9</v>
      </c>
      <c r="J344" s="1">
        <v>60</v>
      </c>
      <c r="K344" s="1" t="s">
        <v>11</v>
      </c>
      <c r="R344" t="str">
        <f t="shared" si="24"/>
        <v>PING FURNACE</v>
      </c>
    </row>
    <row r="345" spans="1:18" hidden="1" x14ac:dyDescent="0.25">
      <c r="A345" s="3">
        <f t="shared" si="21"/>
        <v>44761.556711944439</v>
      </c>
      <c r="B345" s="8" t="str">
        <f t="shared" si="22"/>
        <v>←</v>
      </c>
      <c r="C345" s="11">
        <f t="shared" si="23"/>
        <v>0.126</v>
      </c>
      <c r="D345" s="2">
        <v>1658200899912</v>
      </c>
      <c r="E345" t="s">
        <v>0</v>
      </c>
      <c r="F345" s="1">
        <v>5</v>
      </c>
      <c r="G345" s="1">
        <v>31</v>
      </c>
      <c r="H345" s="1">
        <v>21</v>
      </c>
      <c r="I345" s="1" t="s">
        <v>6</v>
      </c>
      <c r="J345" s="1">
        <v>3</v>
      </c>
      <c r="K345" s="1" t="s">
        <v>7</v>
      </c>
      <c r="R345" t="str">
        <f t="shared" si="24"/>
        <v>Ack</v>
      </c>
    </row>
    <row r="346" spans="1:18" hidden="1" x14ac:dyDescent="0.25">
      <c r="A346" s="3">
        <f t="shared" si="21"/>
        <v>44761.556713819438</v>
      </c>
      <c r="B346" s="8" t="str">
        <f t="shared" si="22"/>
        <v>→</v>
      </c>
      <c r="C346" s="11">
        <f t="shared" si="23"/>
        <v>0.16200000000000001</v>
      </c>
      <c r="D346" s="2">
        <v>1658200900074</v>
      </c>
      <c r="E346" t="s">
        <v>0</v>
      </c>
      <c r="F346" s="1" t="s">
        <v>3</v>
      </c>
      <c r="G346" s="1">
        <v>21</v>
      </c>
      <c r="H346" s="1">
        <v>31</v>
      </c>
      <c r="I346" s="1" t="s">
        <v>3</v>
      </c>
      <c r="J346" s="1" t="s">
        <v>6</v>
      </c>
      <c r="K346" s="1">
        <v>12</v>
      </c>
      <c r="L346" s="1">
        <v>24</v>
      </c>
      <c r="M346" s="1">
        <v>1</v>
      </c>
      <c r="N346" s="1" t="s">
        <v>25</v>
      </c>
      <c r="O346" s="1">
        <v>0</v>
      </c>
      <c r="P346" s="1" t="s">
        <v>90</v>
      </c>
      <c r="Q346" s="1">
        <v>78</v>
      </c>
      <c r="R346" t="str">
        <f t="shared" si="24"/>
        <v>TEMPERATURE INFO Set:18 Actual:18 Countdown:160</v>
      </c>
    </row>
    <row r="347" spans="1:18" hidden="1" x14ac:dyDescent="0.25">
      <c r="A347" s="3">
        <f t="shared" si="21"/>
        <v>44761.556715243052</v>
      </c>
      <c r="B347" s="8" t="str">
        <f t="shared" si="22"/>
        <v>←</v>
      </c>
      <c r="C347" s="11">
        <f t="shared" si="23"/>
        <v>0.123</v>
      </c>
      <c r="D347" s="2">
        <v>1658200900197</v>
      </c>
      <c r="E347" t="s">
        <v>0</v>
      </c>
      <c r="F347" s="1">
        <v>5</v>
      </c>
      <c r="G347" s="1">
        <v>31</v>
      </c>
      <c r="H347" s="1">
        <v>21</v>
      </c>
      <c r="I347" s="1" t="s">
        <v>6</v>
      </c>
      <c r="J347" s="1">
        <v>3</v>
      </c>
      <c r="K347" s="1" t="s">
        <v>7</v>
      </c>
      <c r="R347" t="str">
        <f t="shared" si="24"/>
        <v>Ack</v>
      </c>
    </row>
    <row r="348" spans="1:18" x14ac:dyDescent="0.25">
      <c r="A348" s="3">
        <f t="shared" si="21"/>
        <v>44761.556716250001</v>
      </c>
      <c r="B348" s="8" t="str">
        <f t="shared" si="22"/>
        <v>→</v>
      </c>
      <c r="C348" s="11">
        <f t="shared" si="23"/>
        <v>8.6999999999999994E-2</v>
      </c>
      <c r="D348" s="2">
        <v>1658200900284</v>
      </c>
      <c r="E348" t="s">
        <v>0</v>
      </c>
      <c r="F348" s="1">
        <v>6</v>
      </c>
      <c r="G348" s="1">
        <v>21</v>
      </c>
      <c r="H348" s="1">
        <v>31</v>
      </c>
      <c r="I348" s="1">
        <v>29</v>
      </c>
      <c r="J348" s="1">
        <v>0</v>
      </c>
      <c r="K348" s="1" t="s">
        <v>13</v>
      </c>
      <c r="L348" s="1" t="s">
        <v>14</v>
      </c>
      <c r="R348" t="str">
        <f t="shared" si="24"/>
        <v>LONG PING FURNACE</v>
      </c>
    </row>
    <row r="349" spans="1:18" hidden="1" x14ac:dyDescent="0.25">
      <c r="A349" s="3">
        <f t="shared" si="21"/>
        <v>44761.556717546293</v>
      </c>
      <c r="B349" s="8" t="str">
        <f t="shared" si="22"/>
        <v>←</v>
      </c>
      <c r="C349" s="11">
        <f t="shared" si="23"/>
        <v>0.112</v>
      </c>
      <c r="D349" s="2">
        <v>1658200900396</v>
      </c>
      <c r="E349" t="s">
        <v>0</v>
      </c>
      <c r="F349" s="1">
        <v>5</v>
      </c>
      <c r="G349" s="1">
        <v>31</v>
      </c>
      <c r="H349" s="1">
        <v>21</v>
      </c>
      <c r="I349" s="1" t="s">
        <v>6</v>
      </c>
      <c r="J349" s="1">
        <v>3</v>
      </c>
      <c r="K349" s="1" t="s">
        <v>7</v>
      </c>
      <c r="R349" t="str">
        <f t="shared" si="24"/>
        <v>Ack</v>
      </c>
    </row>
    <row r="350" spans="1:18" hidden="1" x14ac:dyDescent="0.25">
      <c r="A350" s="3">
        <f t="shared" si="21"/>
        <v>44761.556718437496</v>
      </c>
      <c r="B350" s="8" t="str">
        <f t="shared" si="22"/>
        <v>→</v>
      </c>
      <c r="C350" s="11">
        <f t="shared" si="23"/>
        <v>7.6999999999999999E-2</v>
      </c>
      <c r="D350" s="2">
        <v>1658200900473</v>
      </c>
      <c r="E350" t="s">
        <v>0</v>
      </c>
      <c r="F350" s="1">
        <v>5</v>
      </c>
      <c r="G350" s="1">
        <v>21</v>
      </c>
      <c r="H350" s="1">
        <v>31</v>
      </c>
      <c r="I350" s="1">
        <v>6</v>
      </c>
      <c r="J350" s="1">
        <v>60</v>
      </c>
      <c r="K350" s="1">
        <v>83</v>
      </c>
      <c r="R350" t="str">
        <f t="shared" si="24"/>
        <v>FURNACE STATUS REQUEST</v>
      </c>
    </row>
    <row r="351" spans="1:18" hidden="1" x14ac:dyDescent="0.25">
      <c r="A351" s="3">
        <f t="shared" si="21"/>
        <v>44761.556720277775</v>
      </c>
      <c r="B351" s="8" t="str">
        <f t="shared" si="22"/>
        <v>←</v>
      </c>
      <c r="C351" s="11">
        <f t="shared" si="23"/>
        <v>0.159</v>
      </c>
      <c r="D351" s="2">
        <v>1658200900632</v>
      </c>
      <c r="E351" t="s">
        <v>0</v>
      </c>
      <c r="F351" s="1">
        <v>9</v>
      </c>
      <c r="G351" s="1">
        <v>31</v>
      </c>
      <c r="H351" s="1">
        <v>21</v>
      </c>
      <c r="I351" s="1" t="s">
        <v>1</v>
      </c>
      <c r="J351" s="1">
        <v>0</v>
      </c>
      <c r="K351" s="1">
        <v>33</v>
      </c>
      <c r="L351" s="1">
        <v>0</v>
      </c>
      <c r="M351" s="1">
        <v>0</v>
      </c>
      <c r="N351" s="1" t="s">
        <v>97</v>
      </c>
      <c r="O351" s="1">
        <v>30</v>
      </c>
      <c r="R351" t="str">
        <f t="shared" si="24"/>
        <v>FURNACE STATUS RESPONSE Fan:1 Ignition:1 Burner:0 Unknown:30</v>
      </c>
    </row>
    <row r="352" spans="1:18" hidden="1" x14ac:dyDescent="0.25">
      <c r="A352" s="3">
        <f t="shared" si="21"/>
        <v>44761.556778217586</v>
      </c>
      <c r="B352" s="8" t="str">
        <f t="shared" si="22"/>
        <v>←</v>
      </c>
      <c r="C352" s="11">
        <f t="shared" si="23"/>
        <v>5.0060000000000002</v>
      </c>
      <c r="D352" s="2">
        <v>1658200905638</v>
      </c>
      <c r="E352" t="s">
        <v>0</v>
      </c>
      <c r="F352" s="1">
        <v>9</v>
      </c>
      <c r="G352" s="1">
        <v>31</v>
      </c>
      <c r="H352" s="1">
        <v>21</v>
      </c>
      <c r="I352" s="1">
        <v>5</v>
      </c>
      <c r="J352" s="1">
        <v>0</v>
      </c>
      <c r="K352" s="1">
        <v>37</v>
      </c>
      <c r="L352" s="1">
        <v>0</v>
      </c>
      <c r="M352" s="1">
        <v>0</v>
      </c>
      <c r="N352" s="1" t="s">
        <v>26</v>
      </c>
      <c r="O352" s="1">
        <v>30</v>
      </c>
      <c r="R352" t="str">
        <f t="shared" si="24"/>
        <v>FURNACE STATUS REPORT Fan:1 Ignition:1 Burner:1 Unknown:30</v>
      </c>
    </row>
    <row r="353" spans="1:18" hidden="1" x14ac:dyDescent="0.25">
      <c r="A353" s="3">
        <f t="shared" si="21"/>
        <v>44761.556778981474</v>
      </c>
      <c r="B353" s="8" t="str">
        <f t="shared" si="22"/>
        <v>→</v>
      </c>
      <c r="C353" s="11">
        <f t="shared" si="23"/>
        <v>6.6000000000000003E-2</v>
      </c>
      <c r="D353" s="2">
        <v>1658200905704</v>
      </c>
      <c r="E353" t="s">
        <v>0</v>
      </c>
      <c r="F353" s="1">
        <v>5</v>
      </c>
      <c r="G353" s="1">
        <v>21</v>
      </c>
      <c r="H353" s="1">
        <v>31</v>
      </c>
      <c r="I353" s="1" t="s">
        <v>6</v>
      </c>
      <c r="J353" s="1">
        <v>62</v>
      </c>
      <c r="K353" s="1">
        <v>95</v>
      </c>
      <c r="R353" t="str">
        <f t="shared" si="24"/>
        <v>Ack</v>
      </c>
    </row>
    <row r="354" spans="1:18" hidden="1" x14ac:dyDescent="0.25">
      <c r="A354" s="3">
        <f t="shared" ref="A354:A417" si="25">D354/(1000*60*60*24)+25569+10/24</f>
        <v>44761.556826203705</v>
      </c>
      <c r="B354" s="8" t="str">
        <f t="shared" ref="B354:B417" si="26">IF(AND(G354=21,H354=31),"→",IF(AND(G354=31,H354=21),"←","Error"))</f>
        <v>←</v>
      </c>
      <c r="C354" s="11">
        <f t="shared" ref="C354:C417" si="27">(D354-D353)/1000</f>
        <v>4.08</v>
      </c>
      <c r="D354" s="2">
        <v>1658200909784</v>
      </c>
      <c r="E354" t="s">
        <v>0</v>
      </c>
      <c r="F354" s="1">
        <v>9</v>
      </c>
      <c r="G354" s="1">
        <v>31</v>
      </c>
      <c r="H354" s="1">
        <v>21</v>
      </c>
      <c r="I354" s="1">
        <v>5</v>
      </c>
      <c r="J354" s="1">
        <v>0</v>
      </c>
      <c r="K354" s="1">
        <v>36</v>
      </c>
      <c r="L354" s="1">
        <v>0</v>
      </c>
      <c r="M354" s="1">
        <v>0</v>
      </c>
      <c r="N354" s="1">
        <v>58</v>
      </c>
      <c r="O354" s="1">
        <v>27</v>
      </c>
      <c r="R354" t="str">
        <f t="shared" si="24"/>
        <v>FURNACE STATUS REPORT Fan:0 Ignition:1 Burner:1 Unknown:30</v>
      </c>
    </row>
    <row r="355" spans="1:18" hidden="1" x14ac:dyDescent="0.25">
      <c r="A355" s="3">
        <f t="shared" si="25"/>
        <v>44761.556827245367</v>
      </c>
      <c r="B355" s="8" t="str">
        <f t="shared" si="26"/>
        <v>→</v>
      </c>
      <c r="C355" s="11">
        <f t="shared" si="27"/>
        <v>0.09</v>
      </c>
      <c r="D355" s="2">
        <v>1658200909874</v>
      </c>
      <c r="E355" t="s">
        <v>0</v>
      </c>
      <c r="F355" s="1">
        <v>5</v>
      </c>
      <c r="G355" s="1">
        <v>21</v>
      </c>
      <c r="H355" s="1">
        <v>31</v>
      </c>
      <c r="I355" s="1" t="s">
        <v>6</v>
      </c>
      <c r="J355" s="1">
        <v>62</v>
      </c>
      <c r="K355" s="1">
        <v>95</v>
      </c>
      <c r="R355" t="str">
        <f t="shared" si="24"/>
        <v>Ack</v>
      </c>
    </row>
    <row r="356" spans="1:18" hidden="1" x14ac:dyDescent="0.25">
      <c r="A356" s="3">
        <f t="shared" si="25"/>
        <v>44761.556859525459</v>
      </c>
      <c r="B356" s="8" t="str">
        <f t="shared" si="26"/>
        <v>←</v>
      </c>
      <c r="C356" s="11">
        <f t="shared" si="27"/>
        <v>2.7890000000000001</v>
      </c>
      <c r="D356" s="2">
        <v>1658200912663</v>
      </c>
      <c r="E356" t="s">
        <v>0</v>
      </c>
      <c r="F356" s="1">
        <v>9</v>
      </c>
      <c r="G356" s="1">
        <v>31</v>
      </c>
      <c r="H356" s="1">
        <v>21</v>
      </c>
      <c r="I356" s="1">
        <v>5</v>
      </c>
      <c r="J356" s="1">
        <v>0</v>
      </c>
      <c r="K356" s="1">
        <v>26</v>
      </c>
      <c r="L356" s="1">
        <v>0</v>
      </c>
      <c r="M356" s="1">
        <v>0</v>
      </c>
      <c r="N356" s="1" t="s">
        <v>8</v>
      </c>
      <c r="O356" s="1">
        <v>64</v>
      </c>
      <c r="R356" t="str">
        <f t="shared" si="24"/>
        <v>FURNACE STATUS REPORT Fan:0 Ignition:1 Burner:1 Unknown:20</v>
      </c>
    </row>
    <row r="357" spans="1:18" hidden="1" x14ac:dyDescent="0.25">
      <c r="A357" s="3">
        <f t="shared" si="25"/>
        <v>44761.556860532401</v>
      </c>
      <c r="B357" s="8" t="str">
        <f t="shared" si="26"/>
        <v>→</v>
      </c>
      <c r="C357" s="11">
        <f t="shared" si="27"/>
        <v>8.6999999999999994E-2</v>
      </c>
      <c r="D357" s="2">
        <v>1658200912750</v>
      </c>
      <c r="E357" t="s">
        <v>0</v>
      </c>
      <c r="F357" s="1">
        <v>5</v>
      </c>
      <c r="G357" s="1">
        <v>21</v>
      </c>
      <c r="H357" s="1">
        <v>31</v>
      </c>
      <c r="I357" s="1" t="s">
        <v>6</v>
      </c>
      <c r="J357" s="1">
        <v>62</v>
      </c>
      <c r="K357" s="1">
        <v>95</v>
      </c>
      <c r="R357" t="str">
        <f t="shared" si="24"/>
        <v>Ack</v>
      </c>
    </row>
    <row r="358" spans="1:18" hidden="1" x14ac:dyDescent="0.25">
      <c r="A358" s="3">
        <f t="shared" si="25"/>
        <v>44761.5569415625</v>
      </c>
      <c r="B358" s="8" t="str">
        <f t="shared" si="26"/>
        <v>←</v>
      </c>
      <c r="C358" s="11">
        <f t="shared" si="27"/>
        <v>7.0010000000000003</v>
      </c>
      <c r="D358" s="2">
        <v>1658200919751</v>
      </c>
      <c r="E358" t="s">
        <v>0</v>
      </c>
      <c r="F358" s="1">
        <v>9</v>
      </c>
      <c r="G358" s="1">
        <v>31</v>
      </c>
      <c r="H358" s="1">
        <v>21</v>
      </c>
      <c r="I358" s="1">
        <v>5</v>
      </c>
      <c r="J358" s="1">
        <v>0</v>
      </c>
      <c r="K358" s="1">
        <v>27</v>
      </c>
      <c r="L358" s="1">
        <v>0</v>
      </c>
      <c r="M358" s="1">
        <v>0</v>
      </c>
      <c r="N358" s="1">
        <v>59</v>
      </c>
      <c r="O358" s="1">
        <v>73</v>
      </c>
      <c r="R358" t="str">
        <f t="shared" si="24"/>
        <v>FURNACE STATUS REPORT Fan:1 Ignition:1 Burner:1 Unknown:20</v>
      </c>
    </row>
    <row r="359" spans="1:18" hidden="1" x14ac:dyDescent="0.25">
      <c r="A359" s="3">
        <f t="shared" si="25"/>
        <v>44761.556942499992</v>
      </c>
      <c r="B359" s="8" t="str">
        <f t="shared" si="26"/>
        <v>→</v>
      </c>
      <c r="C359" s="11">
        <f t="shared" si="27"/>
        <v>8.1000000000000003E-2</v>
      </c>
      <c r="D359" s="2">
        <v>1658200919832</v>
      </c>
      <c r="E359" t="s">
        <v>0</v>
      </c>
      <c r="F359" s="1">
        <v>5</v>
      </c>
      <c r="G359" s="1">
        <v>21</v>
      </c>
      <c r="H359" s="1">
        <v>31</v>
      </c>
      <c r="I359" s="1" t="s">
        <v>6</v>
      </c>
      <c r="J359" s="1">
        <v>62</v>
      </c>
      <c r="K359" s="1">
        <v>95</v>
      </c>
      <c r="R359" t="str">
        <f t="shared" si="24"/>
        <v>Ack</v>
      </c>
    </row>
    <row r="360" spans="1:18" hidden="1" x14ac:dyDescent="0.25">
      <c r="A360" s="3">
        <f t="shared" si="25"/>
        <v>44761.55740208333</v>
      </c>
      <c r="B360" s="8" t="str">
        <f t="shared" si="26"/>
        <v>→</v>
      </c>
      <c r="C360" s="11">
        <f t="shared" si="27"/>
        <v>39.707999999999998</v>
      </c>
      <c r="D360" s="2">
        <v>1658200959540</v>
      </c>
      <c r="E360" t="s">
        <v>0</v>
      </c>
      <c r="F360" s="1">
        <v>8</v>
      </c>
      <c r="G360" s="1">
        <v>21</v>
      </c>
      <c r="H360" s="1">
        <v>31</v>
      </c>
      <c r="I360" s="1">
        <v>7</v>
      </c>
      <c r="J360" s="1" t="s">
        <v>70</v>
      </c>
      <c r="K360" s="1">
        <v>11</v>
      </c>
      <c r="L360" s="1">
        <v>1</v>
      </c>
      <c r="M360" s="1" t="s">
        <v>41</v>
      </c>
      <c r="N360" s="1" t="s">
        <v>109</v>
      </c>
      <c r="R360" t="str">
        <f t="shared" si="24"/>
        <v>TIME 13:17 Tue</v>
      </c>
    </row>
    <row r="361" spans="1:18" hidden="1" x14ac:dyDescent="0.25">
      <c r="A361" s="3">
        <f t="shared" si="25"/>
        <v>44761.557403368053</v>
      </c>
      <c r="B361" s="8" t="str">
        <f t="shared" si="26"/>
        <v>←</v>
      </c>
      <c r="C361" s="11">
        <f t="shared" si="27"/>
        <v>0.111</v>
      </c>
      <c r="D361" s="2">
        <v>1658200959651</v>
      </c>
      <c r="E361" t="s">
        <v>0</v>
      </c>
      <c r="F361" s="1">
        <v>5</v>
      </c>
      <c r="G361" s="1">
        <v>31</v>
      </c>
      <c r="H361" s="1">
        <v>21</v>
      </c>
      <c r="I361" s="1" t="s">
        <v>6</v>
      </c>
      <c r="J361" s="1">
        <v>3</v>
      </c>
      <c r="K361" s="1" t="s">
        <v>7</v>
      </c>
      <c r="R361" t="str">
        <f t="shared" si="24"/>
        <v>Ack</v>
      </c>
    </row>
    <row r="362" spans="1:18" hidden="1" x14ac:dyDescent="0.25">
      <c r="A362" s="3">
        <f t="shared" si="25"/>
        <v>44761.557404571759</v>
      </c>
      <c r="B362" s="8" t="str">
        <f t="shared" si="26"/>
        <v>→</v>
      </c>
      <c r="C362" s="11">
        <f t="shared" si="27"/>
        <v>0.104</v>
      </c>
      <c r="D362" s="2">
        <v>1658200959755</v>
      </c>
      <c r="E362" t="s">
        <v>0</v>
      </c>
      <c r="F362" s="1">
        <v>5</v>
      </c>
      <c r="G362" s="1">
        <v>21</v>
      </c>
      <c r="H362" s="1">
        <v>31</v>
      </c>
      <c r="I362" s="1">
        <v>9</v>
      </c>
      <c r="J362" s="1">
        <v>60</v>
      </c>
      <c r="K362" s="1" t="s">
        <v>11</v>
      </c>
      <c r="R362" t="str">
        <f t="shared" si="24"/>
        <v>PING FURNACE</v>
      </c>
    </row>
    <row r="363" spans="1:18" hidden="1" x14ac:dyDescent="0.25">
      <c r="A363" s="3">
        <f t="shared" si="25"/>
        <v>44761.557405995372</v>
      </c>
      <c r="B363" s="8" t="str">
        <f t="shared" si="26"/>
        <v>←</v>
      </c>
      <c r="C363" s="11">
        <f t="shared" si="27"/>
        <v>0.123</v>
      </c>
      <c r="D363" s="2">
        <v>1658200959878</v>
      </c>
      <c r="E363" t="s">
        <v>0</v>
      </c>
      <c r="F363" s="1">
        <v>5</v>
      </c>
      <c r="G363" s="1">
        <v>31</v>
      </c>
      <c r="H363" s="1">
        <v>21</v>
      </c>
      <c r="I363" s="1" t="s">
        <v>6</v>
      </c>
      <c r="J363" s="1">
        <v>3</v>
      </c>
      <c r="K363" s="1" t="s">
        <v>7</v>
      </c>
      <c r="R363" t="str">
        <f t="shared" si="24"/>
        <v>Ack</v>
      </c>
    </row>
    <row r="364" spans="1:18" hidden="1" x14ac:dyDescent="0.25">
      <c r="A364" s="3">
        <f t="shared" si="25"/>
        <v>44761.557407662032</v>
      </c>
      <c r="B364" s="8" t="str">
        <f t="shared" si="26"/>
        <v>→</v>
      </c>
      <c r="C364" s="11">
        <f t="shared" si="27"/>
        <v>0.14399999999999999</v>
      </c>
      <c r="D364" s="2">
        <v>1658200960022</v>
      </c>
      <c r="E364" t="s">
        <v>0</v>
      </c>
      <c r="F364" s="1" t="s">
        <v>3</v>
      </c>
      <c r="G364" s="1">
        <v>21</v>
      </c>
      <c r="H364" s="1">
        <v>31</v>
      </c>
      <c r="I364" s="1" t="s">
        <v>3</v>
      </c>
      <c r="J364" s="1" t="s">
        <v>6</v>
      </c>
      <c r="K364" s="1">
        <v>12</v>
      </c>
      <c r="L364" s="1">
        <v>24</v>
      </c>
      <c r="M364" s="1">
        <v>1</v>
      </c>
      <c r="N364" s="1">
        <v>64</v>
      </c>
      <c r="O364" s="1">
        <v>0</v>
      </c>
      <c r="P364" s="1" t="s">
        <v>92</v>
      </c>
      <c r="Q364" s="1">
        <v>74</v>
      </c>
      <c r="R364" t="str">
        <f t="shared" si="24"/>
        <v>TEMPERATURE INFO Set:18 Actual:18 Countdown:100</v>
      </c>
    </row>
    <row r="365" spans="1:18" hidden="1" x14ac:dyDescent="0.25">
      <c r="A365" s="3">
        <f t="shared" si="25"/>
        <v>44761.557409062494</v>
      </c>
      <c r="B365" s="8" t="str">
        <f t="shared" si="26"/>
        <v>←</v>
      </c>
      <c r="C365" s="11">
        <f t="shared" si="27"/>
        <v>0.121</v>
      </c>
      <c r="D365" s="2">
        <v>1658200960143</v>
      </c>
      <c r="E365" t="s">
        <v>0</v>
      </c>
      <c r="F365" s="1">
        <v>5</v>
      </c>
      <c r="G365" s="1">
        <v>31</v>
      </c>
      <c r="H365" s="1">
        <v>21</v>
      </c>
      <c r="I365" s="1" t="s">
        <v>6</v>
      </c>
      <c r="J365" s="1">
        <v>3</v>
      </c>
      <c r="K365" s="1" t="s">
        <v>7</v>
      </c>
      <c r="R365" t="str">
        <f t="shared" si="24"/>
        <v>Ack</v>
      </c>
    </row>
    <row r="366" spans="1:18" x14ac:dyDescent="0.25">
      <c r="A366" s="3">
        <f t="shared" si="25"/>
        <v>44761.557410312496</v>
      </c>
      <c r="B366" s="8" t="str">
        <f t="shared" si="26"/>
        <v>→</v>
      </c>
      <c r="C366" s="11">
        <f t="shared" si="27"/>
        <v>0.108</v>
      </c>
      <c r="D366" s="2">
        <v>1658200960251</v>
      </c>
      <c r="E366" t="s">
        <v>0</v>
      </c>
      <c r="F366" s="1">
        <v>6</v>
      </c>
      <c r="G366" s="1">
        <v>21</v>
      </c>
      <c r="H366" s="1">
        <v>31</v>
      </c>
      <c r="I366" s="1">
        <v>29</v>
      </c>
      <c r="J366" s="1">
        <v>0</v>
      </c>
      <c r="K366" s="1" t="s">
        <v>13</v>
      </c>
      <c r="L366" s="1" t="s">
        <v>14</v>
      </c>
      <c r="R366" t="str">
        <f t="shared" si="24"/>
        <v>LONG PING FURNACE</v>
      </c>
    </row>
    <row r="367" spans="1:18" hidden="1" x14ac:dyDescent="0.25">
      <c r="A367" s="3">
        <f t="shared" si="25"/>
        <v>44761.557412048605</v>
      </c>
      <c r="B367" s="8" t="str">
        <f t="shared" si="26"/>
        <v>←</v>
      </c>
      <c r="C367" s="11">
        <f t="shared" si="27"/>
        <v>0.15</v>
      </c>
      <c r="D367" s="2">
        <v>1658200960401</v>
      </c>
      <c r="E367" t="s">
        <v>0</v>
      </c>
      <c r="F367" s="1">
        <v>5</v>
      </c>
      <c r="G367" s="1">
        <v>31</v>
      </c>
      <c r="H367" s="1">
        <v>21</v>
      </c>
      <c r="I367" s="1" t="s">
        <v>6</v>
      </c>
      <c r="J367" s="1">
        <v>3</v>
      </c>
      <c r="K367" s="1" t="s">
        <v>7</v>
      </c>
      <c r="R367" t="str">
        <f t="shared" si="24"/>
        <v>Ack</v>
      </c>
    </row>
    <row r="368" spans="1:18" hidden="1" x14ac:dyDescent="0.25">
      <c r="A368" s="3">
        <f t="shared" si="25"/>
        <v>44761.557412974536</v>
      </c>
      <c r="B368" s="8" t="str">
        <f t="shared" si="26"/>
        <v>→</v>
      </c>
      <c r="C368" s="11">
        <f t="shared" si="27"/>
        <v>0.08</v>
      </c>
      <c r="D368" s="2">
        <v>1658200960481</v>
      </c>
      <c r="E368" t="s">
        <v>0</v>
      </c>
      <c r="F368" s="1">
        <v>5</v>
      </c>
      <c r="G368" s="1">
        <v>21</v>
      </c>
      <c r="H368" s="1">
        <v>31</v>
      </c>
      <c r="I368" s="1">
        <v>6</v>
      </c>
      <c r="J368" s="1">
        <v>60</v>
      </c>
      <c r="K368" s="1">
        <v>83</v>
      </c>
      <c r="R368" t="str">
        <f t="shared" si="24"/>
        <v>FURNACE STATUS REQUEST</v>
      </c>
    </row>
    <row r="369" spans="1:18" hidden="1" x14ac:dyDescent="0.25">
      <c r="A369" s="3">
        <f t="shared" si="25"/>
        <v>44761.557414803239</v>
      </c>
      <c r="B369" s="8" t="str">
        <f t="shared" si="26"/>
        <v>←</v>
      </c>
      <c r="C369" s="11">
        <f t="shared" si="27"/>
        <v>0.158</v>
      </c>
      <c r="D369" s="2">
        <v>1658200960639</v>
      </c>
      <c r="E369" t="s">
        <v>0</v>
      </c>
      <c r="F369" s="1">
        <v>9</v>
      </c>
      <c r="G369" s="1">
        <v>31</v>
      </c>
      <c r="H369" s="1">
        <v>21</v>
      </c>
      <c r="I369" s="1" t="s">
        <v>1</v>
      </c>
      <c r="J369" s="1">
        <v>0</v>
      </c>
      <c r="K369" s="1">
        <v>27</v>
      </c>
      <c r="L369" s="1">
        <v>0</v>
      </c>
      <c r="M369" s="1">
        <v>0</v>
      </c>
      <c r="N369" s="1" t="s">
        <v>2</v>
      </c>
      <c r="O369" s="1">
        <v>20</v>
      </c>
      <c r="R369" t="str">
        <f t="shared" si="24"/>
        <v>FURNACE STATUS RESPONSE Fan:1 Ignition:1 Burner:1 Unknown:20</v>
      </c>
    </row>
    <row r="370" spans="1:18" hidden="1" x14ac:dyDescent="0.25">
      <c r="A370" s="3">
        <f t="shared" si="25"/>
        <v>44761.558096724533</v>
      </c>
      <c r="B370" s="8" t="str">
        <f t="shared" si="26"/>
        <v>→</v>
      </c>
      <c r="C370" s="11">
        <f t="shared" si="27"/>
        <v>58.917999999999999</v>
      </c>
      <c r="D370" s="2">
        <v>1658201019557</v>
      </c>
      <c r="E370" t="s">
        <v>0</v>
      </c>
      <c r="F370" s="1">
        <v>8</v>
      </c>
      <c r="G370" s="1">
        <v>21</v>
      </c>
      <c r="H370" s="1">
        <v>31</v>
      </c>
      <c r="I370" s="1">
        <v>7</v>
      </c>
      <c r="J370" s="1" t="s">
        <v>70</v>
      </c>
      <c r="K370" s="1">
        <v>12</v>
      </c>
      <c r="L370" s="1">
        <v>1</v>
      </c>
      <c r="M370" s="1" t="s">
        <v>105</v>
      </c>
      <c r="N370" s="1" t="s">
        <v>109</v>
      </c>
      <c r="R370" t="str">
        <f t="shared" si="24"/>
        <v>TIME 13:18 Tue</v>
      </c>
    </row>
    <row r="371" spans="1:18" hidden="1" x14ac:dyDescent="0.25">
      <c r="A371" s="3">
        <f t="shared" si="25"/>
        <v>44761.558098194444</v>
      </c>
      <c r="B371" s="8" t="str">
        <f t="shared" si="26"/>
        <v>←</v>
      </c>
      <c r="C371" s="11">
        <f t="shared" si="27"/>
        <v>0.127</v>
      </c>
      <c r="D371" s="2">
        <v>1658201019684</v>
      </c>
      <c r="E371" t="s">
        <v>0</v>
      </c>
      <c r="F371" s="1">
        <v>5</v>
      </c>
      <c r="G371" s="1">
        <v>31</v>
      </c>
      <c r="H371" s="1">
        <v>21</v>
      </c>
      <c r="I371" s="1" t="s">
        <v>6</v>
      </c>
      <c r="J371" s="1">
        <v>3</v>
      </c>
      <c r="K371" s="1" t="s">
        <v>7</v>
      </c>
      <c r="R371" t="str">
        <f t="shared" si="24"/>
        <v>Ack</v>
      </c>
    </row>
    <row r="372" spans="1:18" hidden="1" x14ac:dyDescent="0.25">
      <c r="A372" s="3">
        <f t="shared" si="25"/>
        <v>44761.558099305556</v>
      </c>
      <c r="B372" s="8" t="str">
        <f t="shared" si="26"/>
        <v>→</v>
      </c>
      <c r="C372" s="11">
        <f t="shared" si="27"/>
        <v>9.6000000000000002E-2</v>
      </c>
      <c r="D372" s="2">
        <v>1658201019780</v>
      </c>
      <c r="E372" t="s">
        <v>0</v>
      </c>
      <c r="F372" s="1">
        <v>5</v>
      </c>
      <c r="G372" s="1">
        <v>21</v>
      </c>
      <c r="H372" s="1">
        <v>31</v>
      </c>
      <c r="I372" s="1">
        <v>9</v>
      </c>
      <c r="J372" s="1">
        <v>60</v>
      </c>
      <c r="K372" s="1" t="s">
        <v>11</v>
      </c>
      <c r="R372" t="str">
        <f t="shared" si="24"/>
        <v>PING FURNACE</v>
      </c>
    </row>
    <row r="373" spans="1:18" hidden="1" x14ac:dyDescent="0.25">
      <c r="A373" s="3">
        <f t="shared" si="25"/>
        <v>44761.558100370363</v>
      </c>
      <c r="B373" s="8" t="str">
        <f t="shared" si="26"/>
        <v>←</v>
      </c>
      <c r="C373" s="11">
        <f t="shared" si="27"/>
        <v>9.1999999999999998E-2</v>
      </c>
      <c r="D373" s="2">
        <v>1658201019872</v>
      </c>
      <c r="E373" t="s">
        <v>0</v>
      </c>
      <c r="F373" s="1">
        <v>5</v>
      </c>
      <c r="G373" s="1">
        <v>31</v>
      </c>
      <c r="H373" s="1">
        <v>21</v>
      </c>
      <c r="I373" s="1" t="s">
        <v>6</v>
      </c>
      <c r="J373" s="1">
        <v>3</v>
      </c>
      <c r="K373" s="1" t="s">
        <v>7</v>
      </c>
      <c r="R373" t="str">
        <f t="shared" si="24"/>
        <v>Ack</v>
      </c>
    </row>
    <row r="374" spans="1:18" hidden="1" x14ac:dyDescent="0.25">
      <c r="A374" s="3">
        <f t="shared" si="25"/>
        <v>44761.558102233794</v>
      </c>
      <c r="B374" s="8" t="str">
        <f t="shared" si="26"/>
        <v>→</v>
      </c>
      <c r="C374" s="11">
        <f t="shared" si="27"/>
        <v>0.161</v>
      </c>
      <c r="D374" s="2">
        <v>1658201020033</v>
      </c>
      <c r="E374" t="s">
        <v>0</v>
      </c>
      <c r="F374" s="1" t="s">
        <v>3</v>
      </c>
      <c r="G374" s="1">
        <v>21</v>
      </c>
      <c r="H374" s="1">
        <v>31</v>
      </c>
      <c r="I374" s="1" t="s">
        <v>3</v>
      </c>
      <c r="J374" s="1" t="s">
        <v>6</v>
      </c>
      <c r="K374" s="1">
        <v>12</v>
      </c>
      <c r="L374" s="1">
        <v>24</v>
      </c>
      <c r="M374" s="1">
        <v>1</v>
      </c>
      <c r="N374" s="1">
        <v>28</v>
      </c>
      <c r="O374" s="1">
        <v>0</v>
      </c>
      <c r="P374" s="1" t="s">
        <v>106</v>
      </c>
      <c r="Q374" s="1">
        <v>72</v>
      </c>
      <c r="R374" t="str">
        <f t="shared" si="24"/>
        <v>TEMPERATURE INFO Set:18 Actual:18 Countdown:40</v>
      </c>
    </row>
    <row r="375" spans="1:18" hidden="1" x14ac:dyDescent="0.25">
      <c r="A375" s="3">
        <f t="shared" si="25"/>
        <v>44761.558103564814</v>
      </c>
      <c r="B375" s="8" t="str">
        <f t="shared" si="26"/>
        <v>←</v>
      </c>
      <c r="C375" s="11">
        <f t="shared" si="27"/>
        <v>0.115</v>
      </c>
      <c r="D375" s="2">
        <v>1658201020148</v>
      </c>
      <c r="E375" t="s">
        <v>0</v>
      </c>
      <c r="F375" s="1">
        <v>5</v>
      </c>
      <c r="G375" s="1">
        <v>31</v>
      </c>
      <c r="H375" s="1">
        <v>21</v>
      </c>
      <c r="I375" s="1" t="s">
        <v>6</v>
      </c>
      <c r="J375" s="1">
        <v>3</v>
      </c>
      <c r="K375" s="1" t="s">
        <v>7</v>
      </c>
      <c r="R375" t="str">
        <f t="shared" si="24"/>
        <v>Ack</v>
      </c>
    </row>
    <row r="376" spans="1:18" x14ac:dyDescent="0.25">
      <c r="A376" s="3">
        <f t="shared" si="25"/>
        <v>44761.558104826385</v>
      </c>
      <c r="B376" s="8" t="str">
        <f t="shared" si="26"/>
        <v>→</v>
      </c>
      <c r="C376" s="11">
        <f t="shared" si="27"/>
        <v>0.109</v>
      </c>
      <c r="D376" s="2">
        <v>1658201020257</v>
      </c>
      <c r="E376" t="s">
        <v>0</v>
      </c>
      <c r="F376" s="1">
        <v>6</v>
      </c>
      <c r="G376" s="1">
        <v>21</v>
      </c>
      <c r="H376" s="1">
        <v>31</v>
      </c>
      <c r="I376" s="1">
        <v>29</v>
      </c>
      <c r="J376" s="1">
        <v>0</v>
      </c>
      <c r="K376" s="1" t="s">
        <v>13</v>
      </c>
      <c r="L376" s="1" t="s">
        <v>14</v>
      </c>
      <c r="R376" t="str">
        <f t="shared" si="24"/>
        <v>LONG PING FURNACE</v>
      </c>
    </row>
    <row r="377" spans="1:18" hidden="1" x14ac:dyDescent="0.25">
      <c r="A377" s="3">
        <f t="shared" si="25"/>
        <v>44761.558105995369</v>
      </c>
      <c r="B377" s="8" t="str">
        <f t="shared" si="26"/>
        <v>←</v>
      </c>
      <c r="C377" s="11">
        <f t="shared" si="27"/>
        <v>0.10100000000000001</v>
      </c>
      <c r="D377" s="2">
        <v>1658201020358</v>
      </c>
      <c r="E377" t="s">
        <v>0</v>
      </c>
      <c r="F377" s="1">
        <v>5</v>
      </c>
      <c r="G377" s="1">
        <v>31</v>
      </c>
      <c r="H377" s="1">
        <v>21</v>
      </c>
      <c r="I377" s="1" t="s">
        <v>6</v>
      </c>
      <c r="J377" s="1">
        <v>3</v>
      </c>
      <c r="K377" s="1" t="s">
        <v>7</v>
      </c>
      <c r="R377" t="str">
        <f t="shared" si="24"/>
        <v>Ack</v>
      </c>
    </row>
    <row r="378" spans="1:18" hidden="1" x14ac:dyDescent="0.25">
      <c r="A378" s="3">
        <f t="shared" si="25"/>
        <v>44761.55810751157</v>
      </c>
      <c r="B378" s="8" t="str">
        <f t="shared" si="26"/>
        <v>→</v>
      </c>
      <c r="C378" s="11">
        <f t="shared" si="27"/>
        <v>0.13100000000000001</v>
      </c>
      <c r="D378" s="2">
        <v>1658201020489</v>
      </c>
      <c r="E378" t="s">
        <v>0</v>
      </c>
      <c r="F378" s="1">
        <v>5</v>
      </c>
      <c r="G378" s="1">
        <v>21</v>
      </c>
      <c r="H378" s="1">
        <v>31</v>
      </c>
      <c r="I378" s="1">
        <v>6</v>
      </c>
      <c r="J378" s="1">
        <v>60</v>
      </c>
      <c r="K378" s="1">
        <v>83</v>
      </c>
      <c r="R378" t="str">
        <f t="shared" si="24"/>
        <v>FURNACE STATUS REQUEST</v>
      </c>
    </row>
    <row r="379" spans="1:18" hidden="1" x14ac:dyDescent="0.25">
      <c r="A379" s="3">
        <f t="shared" si="25"/>
        <v>44761.558109004625</v>
      </c>
      <c r="B379" s="8" t="str">
        <f t="shared" si="26"/>
        <v>←</v>
      </c>
      <c r="C379" s="11">
        <f t="shared" si="27"/>
        <v>0.129</v>
      </c>
      <c r="D379" s="2">
        <v>1658201020618</v>
      </c>
      <c r="E379" t="s">
        <v>0</v>
      </c>
      <c r="F379" s="1">
        <v>9</v>
      </c>
      <c r="G379" s="1">
        <v>31</v>
      </c>
      <c r="H379" s="1">
        <v>21</v>
      </c>
      <c r="I379" s="1" t="s">
        <v>1</v>
      </c>
      <c r="J379" s="1">
        <v>0</v>
      </c>
      <c r="K379" s="1">
        <v>27</v>
      </c>
      <c r="L379" s="1">
        <v>0</v>
      </c>
      <c r="M379" s="1">
        <v>0</v>
      </c>
      <c r="N379" s="1" t="s">
        <v>2</v>
      </c>
      <c r="O379" s="1">
        <v>20</v>
      </c>
      <c r="R379" t="str">
        <f t="shared" si="24"/>
        <v>FURNACE STATUS RESPONSE Fan:1 Ignition:1 Burner:1 Unknown:20</v>
      </c>
    </row>
    <row r="380" spans="1:18" hidden="1" x14ac:dyDescent="0.25">
      <c r="A380" s="3">
        <f t="shared" si="25"/>
        <v>44761.558541828701</v>
      </c>
      <c r="B380" s="8" t="str">
        <f t="shared" si="26"/>
        <v>→</v>
      </c>
      <c r="C380" s="11">
        <f t="shared" si="27"/>
        <v>37.396000000000001</v>
      </c>
      <c r="D380" s="2">
        <v>1658201058014</v>
      </c>
      <c r="E380" t="s">
        <v>0</v>
      </c>
      <c r="F380" s="1" t="s">
        <v>3</v>
      </c>
      <c r="G380" s="1">
        <v>21</v>
      </c>
      <c r="H380" s="1">
        <v>31</v>
      </c>
      <c r="I380" s="1" t="s">
        <v>3</v>
      </c>
      <c r="J380" s="1">
        <v>0</v>
      </c>
      <c r="K380" s="1">
        <v>12</v>
      </c>
      <c r="L380" s="1">
        <v>25</v>
      </c>
      <c r="M380" s="1">
        <v>1</v>
      </c>
      <c r="N380" s="1" t="s">
        <v>4</v>
      </c>
      <c r="O380" s="1">
        <v>0</v>
      </c>
      <c r="P380" s="1" t="s">
        <v>101</v>
      </c>
      <c r="Q380" s="1" t="s">
        <v>108</v>
      </c>
      <c r="R380" t="str">
        <f t="shared" si="24"/>
        <v>TEMPERATURE INFO Set:18 Actual:18.5 Countdown:180</v>
      </c>
    </row>
    <row r="381" spans="1:18" hidden="1" x14ac:dyDescent="0.25">
      <c r="A381" s="3">
        <f t="shared" si="25"/>
        <v>44761.558543402774</v>
      </c>
      <c r="B381" s="8" t="str">
        <f t="shared" si="26"/>
        <v>←</v>
      </c>
      <c r="C381" s="11">
        <f t="shared" si="27"/>
        <v>0.13600000000000001</v>
      </c>
      <c r="D381" s="2">
        <v>1658201058150</v>
      </c>
      <c r="E381" t="s">
        <v>0</v>
      </c>
      <c r="F381" s="1">
        <v>5</v>
      </c>
      <c r="G381" s="1">
        <v>31</v>
      </c>
      <c r="H381" s="1">
        <v>21</v>
      </c>
      <c r="I381" s="1" t="s">
        <v>6</v>
      </c>
      <c r="J381" s="1">
        <v>3</v>
      </c>
      <c r="K381" s="1" t="s">
        <v>7</v>
      </c>
      <c r="R381" t="str">
        <f t="shared" si="24"/>
        <v>Ack</v>
      </c>
    </row>
    <row r="382" spans="1:18" hidden="1" x14ac:dyDescent="0.25">
      <c r="A382" s="3">
        <f t="shared" si="25"/>
        <v>44761.558545451386</v>
      </c>
      <c r="B382" s="8" t="str">
        <f t="shared" si="26"/>
        <v>←</v>
      </c>
      <c r="C382" s="11">
        <f t="shared" si="27"/>
        <v>0.17699999999999999</v>
      </c>
      <c r="D382" s="2">
        <v>1658201058327</v>
      </c>
      <c r="E382" t="s">
        <v>0</v>
      </c>
      <c r="F382" s="1">
        <v>9</v>
      </c>
      <c r="G382" s="1">
        <v>31</v>
      </c>
      <c r="H382" s="1">
        <v>21</v>
      </c>
      <c r="I382" s="1">
        <v>5</v>
      </c>
      <c r="J382" s="1">
        <v>0</v>
      </c>
      <c r="K382" s="1">
        <v>23</v>
      </c>
      <c r="L382" s="1">
        <v>0</v>
      </c>
      <c r="M382" s="1">
        <v>0</v>
      </c>
      <c r="N382" s="1" t="s">
        <v>8</v>
      </c>
      <c r="O382" s="1">
        <v>20</v>
      </c>
      <c r="R382" t="str">
        <f t="shared" si="24"/>
        <v>FURNACE STATUS REPORT Fan:1 Ignition:1 Burner:0 Unknown:20</v>
      </c>
    </row>
    <row r="383" spans="1:18" hidden="1" x14ac:dyDescent="0.25">
      <c r="A383" s="3">
        <f t="shared" si="25"/>
        <v>44761.55854662037</v>
      </c>
      <c r="B383" s="8" t="str">
        <f t="shared" si="26"/>
        <v>→</v>
      </c>
      <c r="C383" s="11">
        <f t="shared" si="27"/>
        <v>0.10100000000000001</v>
      </c>
      <c r="D383" s="2">
        <v>1658201058428</v>
      </c>
      <c r="E383" t="s">
        <v>0</v>
      </c>
      <c r="F383" s="1">
        <v>5</v>
      </c>
      <c r="G383" s="1">
        <v>21</v>
      </c>
      <c r="H383" s="1">
        <v>31</v>
      </c>
      <c r="I383" s="1" t="s">
        <v>6</v>
      </c>
      <c r="J383" s="1">
        <v>62</v>
      </c>
      <c r="K383" s="1">
        <v>95</v>
      </c>
      <c r="R383" t="str">
        <f t="shared" si="24"/>
        <v>Ack</v>
      </c>
    </row>
    <row r="384" spans="1:18" hidden="1" x14ac:dyDescent="0.25">
      <c r="A384" s="3">
        <f t="shared" si="25"/>
        <v>44761.558791099531</v>
      </c>
      <c r="B384" s="8" t="str">
        <f t="shared" si="26"/>
        <v>→</v>
      </c>
      <c r="C384" s="11">
        <f t="shared" si="27"/>
        <v>21.123000000000001</v>
      </c>
      <c r="D384" s="2">
        <v>1658201079551</v>
      </c>
      <c r="E384" t="s">
        <v>0</v>
      </c>
      <c r="F384" s="1">
        <v>8</v>
      </c>
      <c r="G384" s="1">
        <v>21</v>
      </c>
      <c r="H384" s="1">
        <v>31</v>
      </c>
      <c r="I384" s="1">
        <v>7</v>
      </c>
      <c r="J384" s="1" t="s">
        <v>70</v>
      </c>
      <c r="K384" s="1">
        <v>13</v>
      </c>
      <c r="L384" s="1">
        <v>1</v>
      </c>
      <c r="M384" s="1" t="s">
        <v>106</v>
      </c>
      <c r="N384" s="1" t="s">
        <v>57</v>
      </c>
      <c r="R384" t="str">
        <f t="shared" si="24"/>
        <v>TIME 13:19 Tue</v>
      </c>
    </row>
    <row r="385" spans="1:18" hidden="1" x14ac:dyDescent="0.25">
      <c r="A385" s="3">
        <f t="shared" si="25"/>
        <v>44761.558792326388</v>
      </c>
      <c r="B385" s="8" t="str">
        <f t="shared" si="26"/>
        <v>←</v>
      </c>
      <c r="C385" s="11">
        <f t="shared" si="27"/>
        <v>0.106</v>
      </c>
      <c r="D385" s="2">
        <v>1658201079657</v>
      </c>
      <c r="E385" t="s">
        <v>0</v>
      </c>
      <c r="F385" s="1">
        <v>5</v>
      </c>
      <c r="G385" s="1">
        <v>31</v>
      </c>
      <c r="H385" s="1">
        <v>21</v>
      </c>
      <c r="I385" s="1" t="s">
        <v>6</v>
      </c>
      <c r="J385" s="1">
        <v>3</v>
      </c>
      <c r="K385" s="1" t="s">
        <v>7</v>
      </c>
      <c r="R385" t="str">
        <f t="shared" si="24"/>
        <v>Ack</v>
      </c>
    </row>
    <row r="386" spans="1:18" hidden="1" x14ac:dyDescent="0.25">
      <c r="A386" s="3">
        <f t="shared" si="25"/>
        <v>44761.558793449069</v>
      </c>
      <c r="B386" s="8" t="str">
        <f t="shared" si="26"/>
        <v>→</v>
      </c>
      <c r="C386" s="11">
        <f t="shared" si="27"/>
        <v>9.7000000000000003E-2</v>
      </c>
      <c r="D386" s="2">
        <v>1658201079754</v>
      </c>
      <c r="E386" t="s">
        <v>0</v>
      </c>
      <c r="F386" s="1">
        <v>5</v>
      </c>
      <c r="G386" s="1">
        <v>21</v>
      </c>
      <c r="H386" s="1">
        <v>31</v>
      </c>
      <c r="I386" s="1">
        <v>9</v>
      </c>
      <c r="J386" s="1">
        <v>60</v>
      </c>
      <c r="K386" s="1" t="s">
        <v>11</v>
      </c>
      <c r="R386" t="str">
        <f t="shared" si="24"/>
        <v>PING FURNACE</v>
      </c>
    </row>
    <row r="387" spans="1:18" hidden="1" x14ac:dyDescent="0.25">
      <c r="A387" s="3">
        <f t="shared" si="25"/>
        <v>44761.558794606484</v>
      </c>
      <c r="B387" s="8" t="str">
        <f t="shared" si="26"/>
        <v>←</v>
      </c>
      <c r="C387" s="11">
        <f t="shared" si="27"/>
        <v>0.1</v>
      </c>
      <c r="D387" s="2">
        <v>1658201079854</v>
      </c>
      <c r="E387" t="s">
        <v>0</v>
      </c>
      <c r="F387" s="1">
        <v>5</v>
      </c>
      <c r="G387" s="1">
        <v>31</v>
      </c>
      <c r="H387" s="1">
        <v>21</v>
      </c>
      <c r="I387" s="1" t="s">
        <v>6</v>
      </c>
      <c r="J387" s="1">
        <v>3</v>
      </c>
      <c r="K387" s="1" t="s">
        <v>7</v>
      </c>
      <c r="R387" t="str">
        <f t="shared" ref="R387:R450" si="28">IF(E387="Ok",_xlfn.SWITCH(I387,5,"FURNACE STATUS REPORT Fan:"&amp;IF(_xlfn.BITAND(HEX2DEC(K387),1),"1","0")&amp;" Ignition:"&amp;IF(_xlfn.BITAND(HEX2DEC(K387),2),"1","0")&amp;" Burner:"&amp;IF(_xlfn.BITAND(HEX2DEC(K387),4),"1","0")&amp;" Unknown:"&amp;DEC2HEX(_xlfn.BITAND(HEX2DEC(K387),248)),6,"FURNACE STATUS REQUEST",7,"TIME "&amp;HEX2DEC(J387)&amp;":"&amp;HEX2DEC(K387)&amp;" "&amp;CHOOSE(L387+1,"Mon","Tue","Wed","Thu","Fri","Sat","Sun"),9,"PING FURNACE","0B","TEMPERATURE INFO Set:"&amp;HEX2DEC(K387)&amp;" Actual:"&amp;HEX2DEC(L387)/2&amp;" Countdown:"&amp;HEX2DEC(N387),29,"LONG PING FURNACE","FB","FURNACE STATUS RESPONSE Fan:"&amp;IF(_xlfn.BITAND(HEX2DEC(K387),1),"1","0")&amp;" Ignition:"&amp;IF(_xlfn.BITAND(HEX2DEC(K387),2),"1","0")&amp;" Burner:"&amp;IF(_xlfn.BITAND(HEX2DEC(K387),4),"1","0")&amp;" Unknown:"&amp;DEC2HEX(_xlfn.BITAND(HEX2DEC(K387),248)),"FF","Ack"),"")</f>
        <v>Ack</v>
      </c>
    </row>
    <row r="388" spans="1:18" hidden="1" x14ac:dyDescent="0.25">
      <c r="A388" s="3">
        <f t="shared" si="25"/>
        <v>44761.558796469901</v>
      </c>
      <c r="B388" s="8" t="str">
        <f t="shared" si="26"/>
        <v>→</v>
      </c>
      <c r="C388" s="11">
        <f t="shared" si="27"/>
        <v>0.161</v>
      </c>
      <c r="D388" s="2">
        <v>1658201080015</v>
      </c>
      <c r="E388" t="s">
        <v>0</v>
      </c>
      <c r="F388" s="1" t="s">
        <v>3</v>
      </c>
      <c r="G388" s="1">
        <v>21</v>
      </c>
      <c r="H388" s="1">
        <v>31</v>
      </c>
      <c r="I388" s="1" t="s">
        <v>3</v>
      </c>
      <c r="J388" s="1">
        <v>0</v>
      </c>
      <c r="K388" s="1">
        <v>12</v>
      </c>
      <c r="L388" s="1">
        <v>25</v>
      </c>
      <c r="M388" s="1">
        <v>1</v>
      </c>
      <c r="N388" s="1" t="s">
        <v>25</v>
      </c>
      <c r="O388" s="1">
        <v>0</v>
      </c>
      <c r="P388" s="1" t="s">
        <v>41</v>
      </c>
      <c r="Q388" s="1" t="s">
        <v>108</v>
      </c>
      <c r="R388" t="str">
        <f t="shared" si="28"/>
        <v>TEMPERATURE INFO Set:18 Actual:18.5 Countdown:160</v>
      </c>
    </row>
    <row r="389" spans="1:18" hidden="1" x14ac:dyDescent="0.25">
      <c r="A389" s="3">
        <f t="shared" si="25"/>
        <v>44761.558797905091</v>
      </c>
      <c r="B389" s="8" t="str">
        <f t="shared" si="26"/>
        <v>←</v>
      </c>
      <c r="C389" s="11">
        <f t="shared" si="27"/>
        <v>0.124</v>
      </c>
      <c r="D389" s="2">
        <v>1658201080139</v>
      </c>
      <c r="E389" t="s">
        <v>0</v>
      </c>
      <c r="F389" s="1">
        <v>5</v>
      </c>
      <c r="G389" s="1">
        <v>31</v>
      </c>
      <c r="H389" s="1">
        <v>21</v>
      </c>
      <c r="I389" s="1" t="s">
        <v>6</v>
      </c>
      <c r="J389" s="1">
        <v>3</v>
      </c>
      <c r="K389" s="1" t="s">
        <v>7</v>
      </c>
      <c r="R389" t="str">
        <f t="shared" si="28"/>
        <v>Ack</v>
      </c>
    </row>
    <row r="390" spans="1:18" x14ac:dyDescent="0.25">
      <c r="A390" s="3">
        <f t="shared" si="25"/>
        <v>44761.558799456012</v>
      </c>
      <c r="B390" s="8" t="str">
        <f t="shared" si="26"/>
        <v>→</v>
      </c>
      <c r="C390" s="11">
        <f t="shared" si="27"/>
        <v>0.13400000000000001</v>
      </c>
      <c r="D390" s="2">
        <v>1658201080273</v>
      </c>
      <c r="E390" t="s">
        <v>0</v>
      </c>
      <c r="F390" s="1">
        <v>6</v>
      </c>
      <c r="G390" s="1">
        <v>21</v>
      </c>
      <c r="H390" s="1">
        <v>31</v>
      </c>
      <c r="I390" s="1">
        <v>29</v>
      </c>
      <c r="J390" s="1">
        <v>0</v>
      </c>
      <c r="K390" s="1" t="s">
        <v>13</v>
      </c>
      <c r="L390" s="1" t="s">
        <v>14</v>
      </c>
      <c r="R390" t="str">
        <f t="shared" si="28"/>
        <v>LONG PING FURNACE</v>
      </c>
    </row>
    <row r="391" spans="1:18" hidden="1" x14ac:dyDescent="0.25">
      <c r="A391" s="3">
        <f t="shared" si="25"/>
        <v>44761.558800451385</v>
      </c>
      <c r="B391" s="8" t="str">
        <f t="shared" si="26"/>
        <v>←</v>
      </c>
      <c r="C391" s="11">
        <f t="shared" si="27"/>
        <v>8.5999999999999993E-2</v>
      </c>
      <c r="D391" s="2">
        <v>1658201080359</v>
      </c>
      <c r="E391" t="s">
        <v>0</v>
      </c>
      <c r="F391" s="1">
        <v>5</v>
      </c>
      <c r="G391" s="1">
        <v>31</v>
      </c>
      <c r="H391" s="1">
        <v>21</v>
      </c>
      <c r="I391" s="1" t="s">
        <v>6</v>
      </c>
      <c r="J391" s="1">
        <v>3</v>
      </c>
      <c r="K391" s="1" t="s">
        <v>7</v>
      </c>
      <c r="R391" t="str">
        <f t="shared" si="28"/>
        <v>Ack</v>
      </c>
    </row>
    <row r="392" spans="1:18" hidden="1" x14ac:dyDescent="0.25">
      <c r="A392" s="3">
        <f t="shared" si="25"/>
        <v>44761.558801435182</v>
      </c>
      <c r="B392" s="8" t="str">
        <f t="shared" si="26"/>
        <v>→</v>
      </c>
      <c r="C392" s="11">
        <f t="shared" si="27"/>
        <v>8.5000000000000006E-2</v>
      </c>
      <c r="D392" s="2">
        <v>1658201080444</v>
      </c>
      <c r="E392" t="s">
        <v>0</v>
      </c>
      <c r="F392" s="1">
        <v>5</v>
      </c>
      <c r="G392" s="1">
        <v>21</v>
      </c>
      <c r="H392" s="1">
        <v>31</v>
      </c>
      <c r="I392" s="1">
        <v>6</v>
      </c>
      <c r="J392" s="1">
        <v>60</v>
      </c>
      <c r="K392" s="1">
        <v>83</v>
      </c>
      <c r="R392" t="str">
        <f t="shared" si="28"/>
        <v>FURNACE STATUS REQUEST</v>
      </c>
    </row>
    <row r="393" spans="1:18" hidden="1" x14ac:dyDescent="0.25">
      <c r="A393" s="3">
        <f t="shared" si="25"/>
        <v>44761.55880337963</v>
      </c>
      <c r="B393" s="8" t="str">
        <f t="shared" si="26"/>
        <v>←</v>
      </c>
      <c r="C393" s="11">
        <f t="shared" si="27"/>
        <v>0.16800000000000001</v>
      </c>
      <c r="D393" s="2">
        <v>1658201080612</v>
      </c>
      <c r="E393" t="s">
        <v>0</v>
      </c>
      <c r="F393" s="1">
        <v>9</v>
      </c>
      <c r="G393" s="1">
        <v>31</v>
      </c>
      <c r="H393" s="1">
        <v>21</v>
      </c>
      <c r="I393" s="1" t="s">
        <v>1</v>
      </c>
      <c r="J393" s="1">
        <v>0</v>
      </c>
      <c r="K393" s="1">
        <v>23</v>
      </c>
      <c r="L393" s="1">
        <v>0</v>
      </c>
      <c r="M393" s="1">
        <v>0</v>
      </c>
      <c r="N393" s="1">
        <v>71</v>
      </c>
      <c r="O393" s="1">
        <v>73</v>
      </c>
      <c r="R393" t="str">
        <f t="shared" si="28"/>
        <v>FURNACE STATUS RESPONSE Fan:1 Ignition:1 Burner:0 Unknown:20</v>
      </c>
    </row>
    <row r="394" spans="1:18" hidden="1" x14ac:dyDescent="0.25">
      <c r="A394" s="3">
        <f t="shared" si="25"/>
        <v>44761.559206122685</v>
      </c>
      <c r="B394" s="8" t="str">
        <f t="shared" si="26"/>
        <v>←</v>
      </c>
      <c r="C394" s="11">
        <f t="shared" si="27"/>
        <v>34.796999999999997</v>
      </c>
      <c r="D394" s="2">
        <v>1658201115409</v>
      </c>
      <c r="E394" t="s">
        <v>0</v>
      </c>
      <c r="F394" s="1">
        <v>9</v>
      </c>
      <c r="G394" s="1">
        <v>31</v>
      </c>
      <c r="H394" s="1">
        <v>21</v>
      </c>
      <c r="I394" s="1">
        <v>5</v>
      </c>
      <c r="J394" s="1">
        <v>0</v>
      </c>
      <c r="K394" s="1">
        <v>21</v>
      </c>
      <c r="L394" s="1">
        <v>0</v>
      </c>
      <c r="M394" s="1">
        <v>0</v>
      </c>
      <c r="N394" s="1">
        <v>59</v>
      </c>
      <c r="O394" s="1" t="s">
        <v>3</v>
      </c>
      <c r="R394" t="str">
        <f t="shared" si="28"/>
        <v>FURNACE STATUS REPORT Fan:1 Ignition:0 Burner:0 Unknown:20</v>
      </c>
    </row>
    <row r="395" spans="1:18" hidden="1" x14ac:dyDescent="0.25">
      <c r="A395" s="3">
        <f t="shared" si="25"/>
        <v>44761.559207152772</v>
      </c>
      <c r="B395" s="8" t="str">
        <f t="shared" si="26"/>
        <v>→</v>
      </c>
      <c r="C395" s="11">
        <f t="shared" si="27"/>
        <v>8.8999999999999996E-2</v>
      </c>
      <c r="D395" s="2">
        <v>1658201115498</v>
      </c>
      <c r="E395" t="s">
        <v>0</v>
      </c>
      <c r="F395" s="1">
        <v>5</v>
      </c>
      <c r="G395" s="1">
        <v>21</v>
      </c>
      <c r="H395" s="1">
        <v>31</v>
      </c>
      <c r="I395" s="1" t="s">
        <v>6</v>
      </c>
      <c r="J395" s="1">
        <v>62</v>
      </c>
      <c r="K395" s="1">
        <v>95</v>
      </c>
      <c r="R395" t="str">
        <f t="shared" si="28"/>
        <v>Ack</v>
      </c>
    </row>
    <row r="396" spans="1:18" hidden="1" x14ac:dyDescent="0.25">
      <c r="A396" s="3">
        <f t="shared" si="25"/>
        <v>44761.559209606479</v>
      </c>
      <c r="B396" s="8" t="str">
        <f t="shared" si="26"/>
        <v>←</v>
      </c>
      <c r="C396" s="11">
        <f t="shared" si="27"/>
        <v>0.21199999999999999</v>
      </c>
      <c r="D396" s="2">
        <v>1658201115710</v>
      </c>
      <c r="E396" t="s">
        <v>0</v>
      </c>
      <c r="F396" s="1">
        <v>9</v>
      </c>
      <c r="G396" s="1">
        <v>31</v>
      </c>
      <c r="H396" s="1">
        <v>21</v>
      </c>
      <c r="I396" s="1">
        <v>5</v>
      </c>
      <c r="J396" s="1">
        <v>0</v>
      </c>
      <c r="K396" s="1">
        <v>1</v>
      </c>
      <c r="L396" s="1">
        <v>0</v>
      </c>
      <c r="M396" s="1">
        <v>0</v>
      </c>
      <c r="N396" s="1" t="s">
        <v>15</v>
      </c>
      <c r="O396" s="1">
        <v>88</v>
      </c>
      <c r="R396" t="str">
        <f t="shared" si="28"/>
        <v>FURNACE STATUS REPORT Fan:1 Ignition:0 Burner:0 Unknown:0</v>
      </c>
    </row>
    <row r="397" spans="1:18" hidden="1" x14ac:dyDescent="0.25">
      <c r="A397" s="3">
        <f t="shared" si="25"/>
        <v>44761.559210497682</v>
      </c>
      <c r="B397" s="8" t="str">
        <f t="shared" si="26"/>
        <v>→</v>
      </c>
      <c r="C397" s="11">
        <f t="shared" si="27"/>
        <v>7.6999999999999999E-2</v>
      </c>
      <c r="D397" s="2">
        <v>1658201115787</v>
      </c>
      <c r="E397" t="s">
        <v>0</v>
      </c>
      <c r="F397" s="1">
        <v>5</v>
      </c>
      <c r="G397" s="1">
        <v>21</v>
      </c>
      <c r="H397" s="1">
        <v>31</v>
      </c>
      <c r="I397" s="1" t="s">
        <v>6</v>
      </c>
      <c r="J397" s="1">
        <v>62</v>
      </c>
      <c r="K397" s="1">
        <v>95</v>
      </c>
      <c r="R397" t="str">
        <f t="shared" si="28"/>
        <v>Ack</v>
      </c>
    </row>
    <row r="398" spans="1:18" hidden="1" x14ac:dyDescent="0.25">
      <c r="A398" s="3">
        <f t="shared" si="25"/>
        <v>44761.559485509257</v>
      </c>
      <c r="B398" s="8" t="str">
        <f t="shared" si="26"/>
        <v>→</v>
      </c>
      <c r="C398" s="11">
        <f t="shared" si="27"/>
        <v>23.760999999999999</v>
      </c>
      <c r="D398" s="2">
        <v>1658201139548</v>
      </c>
      <c r="E398" t="s">
        <v>0</v>
      </c>
      <c r="F398" s="1">
        <v>8</v>
      </c>
      <c r="G398" s="1">
        <v>21</v>
      </c>
      <c r="H398" s="1">
        <v>31</v>
      </c>
      <c r="I398" s="1">
        <v>7</v>
      </c>
      <c r="J398" s="1" t="s">
        <v>70</v>
      </c>
      <c r="K398" s="1">
        <v>14</v>
      </c>
      <c r="L398" s="1">
        <v>1</v>
      </c>
      <c r="M398" s="1" t="s">
        <v>10</v>
      </c>
      <c r="N398" s="1" t="s">
        <v>109</v>
      </c>
      <c r="R398" t="str">
        <f t="shared" si="28"/>
        <v>TIME 13:20 Tue</v>
      </c>
    </row>
    <row r="399" spans="1:18" hidden="1" x14ac:dyDescent="0.25">
      <c r="A399" s="3">
        <f t="shared" si="25"/>
        <v>44761.559486759252</v>
      </c>
      <c r="B399" s="8" t="str">
        <f t="shared" si="26"/>
        <v>←</v>
      </c>
      <c r="C399" s="11">
        <f t="shared" si="27"/>
        <v>0.108</v>
      </c>
      <c r="D399" s="2">
        <v>1658201139656</v>
      </c>
      <c r="E399" t="s">
        <v>0</v>
      </c>
      <c r="F399" s="1">
        <v>5</v>
      </c>
      <c r="G399" s="1">
        <v>31</v>
      </c>
      <c r="H399" s="1">
        <v>21</v>
      </c>
      <c r="I399" s="1" t="s">
        <v>6</v>
      </c>
      <c r="J399" s="1">
        <v>3</v>
      </c>
      <c r="K399" s="1" t="s">
        <v>7</v>
      </c>
      <c r="R399" t="str">
        <f t="shared" si="28"/>
        <v>Ack</v>
      </c>
    </row>
    <row r="400" spans="1:18" hidden="1" x14ac:dyDescent="0.25">
      <c r="A400" s="3">
        <f t="shared" si="25"/>
        <v>44761.559487719904</v>
      </c>
      <c r="B400" s="8" t="str">
        <f t="shared" si="26"/>
        <v>→</v>
      </c>
      <c r="C400" s="11">
        <f t="shared" si="27"/>
        <v>8.3000000000000004E-2</v>
      </c>
      <c r="D400" s="2">
        <v>1658201139739</v>
      </c>
      <c r="E400" t="s">
        <v>0</v>
      </c>
      <c r="F400" s="1">
        <v>5</v>
      </c>
      <c r="G400" s="1">
        <v>21</v>
      </c>
      <c r="H400" s="1">
        <v>31</v>
      </c>
      <c r="I400" s="1">
        <v>9</v>
      </c>
      <c r="J400" s="1">
        <v>60</v>
      </c>
      <c r="K400" s="1" t="s">
        <v>11</v>
      </c>
      <c r="R400" t="str">
        <f t="shared" si="28"/>
        <v>PING FURNACE</v>
      </c>
    </row>
    <row r="401" spans="1:18" hidden="1" x14ac:dyDescent="0.25">
      <c r="A401" s="3">
        <f t="shared" si="25"/>
        <v>44761.559489143518</v>
      </c>
      <c r="B401" s="8" t="str">
        <f t="shared" si="26"/>
        <v>←</v>
      </c>
      <c r="C401" s="11">
        <f t="shared" si="27"/>
        <v>0.123</v>
      </c>
      <c r="D401" s="2">
        <v>1658201139862</v>
      </c>
      <c r="E401" t="s">
        <v>0</v>
      </c>
      <c r="F401" s="1">
        <v>5</v>
      </c>
      <c r="G401" s="1">
        <v>31</v>
      </c>
      <c r="H401" s="1">
        <v>21</v>
      </c>
      <c r="I401" s="1" t="s">
        <v>6</v>
      </c>
      <c r="J401" s="1">
        <v>3</v>
      </c>
      <c r="K401" s="1" t="s">
        <v>7</v>
      </c>
      <c r="R401" t="str">
        <f t="shared" si="28"/>
        <v>Ack</v>
      </c>
    </row>
    <row r="402" spans="1:18" hidden="1" x14ac:dyDescent="0.25">
      <c r="A402" s="3">
        <f t="shared" si="25"/>
        <v>44761.559491122687</v>
      </c>
      <c r="B402" s="8" t="str">
        <f t="shared" si="26"/>
        <v>→</v>
      </c>
      <c r="C402" s="11">
        <f t="shared" si="27"/>
        <v>0.17100000000000001</v>
      </c>
      <c r="D402" s="2">
        <v>1658201140033</v>
      </c>
      <c r="E402" t="s">
        <v>0</v>
      </c>
      <c r="F402" s="1" t="s">
        <v>3</v>
      </c>
      <c r="G402" s="1">
        <v>21</v>
      </c>
      <c r="H402" s="1">
        <v>31</v>
      </c>
      <c r="I402" s="1" t="s">
        <v>3</v>
      </c>
      <c r="J402" s="1">
        <v>0</v>
      </c>
      <c r="K402" s="1">
        <v>12</v>
      </c>
      <c r="L402" s="1">
        <v>25</v>
      </c>
      <c r="M402" s="1">
        <v>1</v>
      </c>
      <c r="N402" s="1">
        <v>64</v>
      </c>
      <c r="O402" s="1">
        <v>0</v>
      </c>
      <c r="P402" s="1" t="s">
        <v>16</v>
      </c>
      <c r="Q402" s="1">
        <v>87</v>
      </c>
      <c r="R402" t="str">
        <f t="shared" si="28"/>
        <v>TEMPERATURE INFO Set:18 Actual:18.5 Countdown:100</v>
      </c>
    </row>
    <row r="403" spans="1:18" hidden="1" x14ac:dyDescent="0.25">
      <c r="A403" s="3">
        <f t="shared" si="25"/>
        <v>44761.559492233799</v>
      </c>
      <c r="B403" s="8" t="str">
        <f t="shared" si="26"/>
        <v>←</v>
      </c>
      <c r="C403" s="11">
        <f t="shared" si="27"/>
        <v>9.6000000000000002E-2</v>
      </c>
      <c r="D403" s="2">
        <v>1658201140129</v>
      </c>
      <c r="E403" t="s">
        <v>0</v>
      </c>
      <c r="F403" s="1">
        <v>5</v>
      </c>
      <c r="G403" s="1">
        <v>31</v>
      </c>
      <c r="H403" s="1">
        <v>21</v>
      </c>
      <c r="I403" s="1" t="s">
        <v>6</v>
      </c>
      <c r="J403" s="1">
        <v>3</v>
      </c>
      <c r="K403" s="1" t="s">
        <v>7</v>
      </c>
      <c r="R403" t="str">
        <f t="shared" si="28"/>
        <v>Ack</v>
      </c>
    </row>
    <row r="404" spans="1:18" x14ac:dyDescent="0.25">
      <c r="A404" s="3">
        <f t="shared" si="25"/>
        <v>44761.559493518515</v>
      </c>
      <c r="B404" s="8" t="str">
        <f t="shared" si="26"/>
        <v>→</v>
      </c>
      <c r="C404" s="11">
        <f t="shared" si="27"/>
        <v>0.111</v>
      </c>
      <c r="D404" s="2">
        <v>1658201140240</v>
      </c>
      <c r="E404" t="s">
        <v>0</v>
      </c>
      <c r="F404" s="1">
        <v>6</v>
      </c>
      <c r="G404" s="1">
        <v>21</v>
      </c>
      <c r="H404" s="1">
        <v>31</v>
      </c>
      <c r="I404" s="1">
        <v>29</v>
      </c>
      <c r="J404" s="1">
        <v>0</v>
      </c>
      <c r="K404" s="1" t="s">
        <v>13</v>
      </c>
      <c r="L404" s="1" t="s">
        <v>14</v>
      </c>
      <c r="R404" t="str">
        <f t="shared" si="28"/>
        <v>LONG PING FURNACE</v>
      </c>
    </row>
    <row r="405" spans="1:18" hidden="1" x14ac:dyDescent="0.25">
      <c r="A405" s="3">
        <f t="shared" si="25"/>
        <v>44761.559495000001</v>
      </c>
      <c r="B405" s="8" t="str">
        <f t="shared" si="26"/>
        <v>←</v>
      </c>
      <c r="C405" s="11">
        <f t="shared" si="27"/>
        <v>0.128</v>
      </c>
      <c r="D405" s="2">
        <v>1658201140368</v>
      </c>
      <c r="E405" t="s">
        <v>0</v>
      </c>
      <c r="F405" s="1">
        <v>5</v>
      </c>
      <c r="G405" s="1">
        <v>31</v>
      </c>
      <c r="H405" s="1">
        <v>21</v>
      </c>
      <c r="I405" s="1" t="s">
        <v>6</v>
      </c>
      <c r="J405" s="1">
        <v>3</v>
      </c>
      <c r="K405" s="1" t="s">
        <v>7</v>
      </c>
      <c r="R405" t="str">
        <f t="shared" si="28"/>
        <v>Ack</v>
      </c>
    </row>
    <row r="406" spans="1:18" hidden="1" x14ac:dyDescent="0.25">
      <c r="A406" s="3">
        <f t="shared" si="25"/>
        <v>44761.55949605324</v>
      </c>
      <c r="B406" s="8" t="str">
        <f t="shared" si="26"/>
        <v>→</v>
      </c>
      <c r="C406" s="11">
        <f t="shared" si="27"/>
        <v>9.0999999999999998E-2</v>
      </c>
      <c r="D406" s="2">
        <v>1658201140459</v>
      </c>
      <c r="E406" t="s">
        <v>0</v>
      </c>
      <c r="F406" s="1">
        <v>5</v>
      </c>
      <c r="G406" s="1">
        <v>21</v>
      </c>
      <c r="H406" s="1">
        <v>31</v>
      </c>
      <c r="I406" s="1">
        <v>6</v>
      </c>
      <c r="J406" s="1">
        <v>60</v>
      </c>
      <c r="K406" s="1">
        <v>83</v>
      </c>
      <c r="R406" t="str">
        <f t="shared" si="28"/>
        <v>FURNACE STATUS REQUEST</v>
      </c>
    </row>
    <row r="407" spans="1:18" hidden="1" x14ac:dyDescent="0.25">
      <c r="A407" s="3">
        <f t="shared" si="25"/>
        <v>44761.559497696762</v>
      </c>
      <c r="B407" s="8" t="str">
        <f t="shared" si="26"/>
        <v>←</v>
      </c>
      <c r="C407" s="11">
        <f t="shared" si="27"/>
        <v>0.14199999999999999</v>
      </c>
      <c r="D407" s="2">
        <v>1658201140601</v>
      </c>
      <c r="E407" t="s">
        <v>0</v>
      </c>
      <c r="F407" s="1">
        <v>9</v>
      </c>
      <c r="G407" s="1">
        <v>31</v>
      </c>
      <c r="H407" s="1">
        <v>21</v>
      </c>
      <c r="I407" s="1" t="s">
        <v>1</v>
      </c>
      <c r="J407" s="1">
        <v>0</v>
      </c>
      <c r="K407" s="1">
        <v>1</v>
      </c>
      <c r="L407" s="1">
        <v>0</v>
      </c>
      <c r="M407" s="1">
        <v>0</v>
      </c>
      <c r="N407" s="1">
        <v>73</v>
      </c>
      <c r="O407" s="1" t="s">
        <v>15</v>
      </c>
      <c r="R407" t="str">
        <f t="shared" si="28"/>
        <v>FURNACE STATUS RESPONSE Fan:1 Ignition:0 Burner:0 Unknown:0</v>
      </c>
    </row>
    <row r="408" spans="1:18" hidden="1" x14ac:dyDescent="0.25">
      <c r="A408" s="3">
        <f t="shared" si="25"/>
        <v>44761.559500567128</v>
      </c>
      <c r="B408" s="8" t="str">
        <f t="shared" si="26"/>
        <v>←</v>
      </c>
      <c r="C408" s="11">
        <f t="shared" si="27"/>
        <v>0.248</v>
      </c>
      <c r="D408" s="2">
        <v>1658201140849</v>
      </c>
      <c r="E408" t="s">
        <v>0</v>
      </c>
      <c r="F408" s="1">
        <v>9</v>
      </c>
      <c r="G408" s="1">
        <v>31</v>
      </c>
      <c r="H408" s="1">
        <v>21</v>
      </c>
      <c r="I408" s="1">
        <v>5</v>
      </c>
      <c r="J408" s="1">
        <v>0</v>
      </c>
      <c r="K408" s="1">
        <v>0</v>
      </c>
      <c r="L408" s="1">
        <v>0</v>
      </c>
      <c r="M408" s="1">
        <v>0</v>
      </c>
      <c r="N408" s="1" t="s">
        <v>19</v>
      </c>
      <c r="O408" s="1" t="s">
        <v>20</v>
      </c>
      <c r="R408" t="str">
        <f t="shared" si="28"/>
        <v>FURNACE STATUS REPORT Fan:0 Ignition:0 Burner:0 Unknown:0</v>
      </c>
    </row>
    <row r="409" spans="1:18" hidden="1" x14ac:dyDescent="0.25">
      <c r="A409" s="3">
        <f t="shared" si="25"/>
        <v>44761.559501226853</v>
      </c>
      <c r="B409" s="8" t="str">
        <f t="shared" si="26"/>
        <v>→</v>
      </c>
      <c r="C409" s="11">
        <f t="shared" si="27"/>
        <v>5.7000000000000002E-2</v>
      </c>
      <c r="D409" s="2">
        <v>1658201140906</v>
      </c>
      <c r="E409" t="s">
        <v>0</v>
      </c>
      <c r="F409" s="1">
        <v>5</v>
      </c>
      <c r="G409" s="1">
        <v>21</v>
      </c>
      <c r="H409" s="1">
        <v>31</v>
      </c>
      <c r="I409" s="1" t="s">
        <v>6</v>
      </c>
      <c r="J409" s="1">
        <v>62</v>
      </c>
      <c r="K409" s="1">
        <v>95</v>
      </c>
      <c r="R409" t="str">
        <f t="shared" si="28"/>
        <v>Ack</v>
      </c>
    </row>
    <row r="410" spans="1:18" hidden="1" x14ac:dyDescent="0.25">
      <c r="A410" s="3">
        <f t="shared" si="25"/>
        <v>44761.560179884262</v>
      </c>
      <c r="B410" s="8" t="str">
        <f t="shared" si="26"/>
        <v>→</v>
      </c>
      <c r="C410" s="11">
        <f t="shared" si="27"/>
        <v>58.636000000000003</v>
      </c>
      <c r="D410" s="2">
        <v>1658201199542</v>
      </c>
      <c r="E410" t="s">
        <v>0</v>
      </c>
      <c r="F410" s="1">
        <v>8</v>
      </c>
      <c r="G410" s="1">
        <v>21</v>
      </c>
      <c r="H410" s="1">
        <v>31</v>
      </c>
      <c r="I410" s="1">
        <v>7</v>
      </c>
      <c r="J410" s="1" t="s">
        <v>70</v>
      </c>
      <c r="K410" s="1">
        <v>15</v>
      </c>
      <c r="L410" s="1">
        <v>1</v>
      </c>
      <c r="M410" s="1" t="s">
        <v>16</v>
      </c>
      <c r="N410" s="1" t="s">
        <v>57</v>
      </c>
      <c r="R410" t="str">
        <f t="shared" si="28"/>
        <v>TIME 13:21 Tue</v>
      </c>
    </row>
    <row r="411" spans="1:18" hidden="1" x14ac:dyDescent="0.25">
      <c r="A411" s="3">
        <f t="shared" si="25"/>
        <v>44761.560181261571</v>
      </c>
      <c r="B411" s="8" t="str">
        <f t="shared" si="26"/>
        <v>←</v>
      </c>
      <c r="C411" s="11">
        <f t="shared" si="27"/>
        <v>0.11899999999999999</v>
      </c>
      <c r="D411" s="2">
        <v>1658201199661</v>
      </c>
      <c r="E411" t="s">
        <v>0</v>
      </c>
      <c r="F411" s="1">
        <v>5</v>
      </c>
      <c r="G411" s="1">
        <v>31</v>
      </c>
      <c r="H411" s="1">
        <v>21</v>
      </c>
      <c r="I411" s="1" t="s">
        <v>6</v>
      </c>
      <c r="J411" s="1">
        <v>3</v>
      </c>
      <c r="K411" s="1" t="s">
        <v>7</v>
      </c>
      <c r="R411" t="str">
        <f t="shared" si="28"/>
        <v>Ack</v>
      </c>
    </row>
    <row r="412" spans="1:18" hidden="1" x14ac:dyDescent="0.25">
      <c r="A412" s="3">
        <f t="shared" si="25"/>
        <v>44761.560182569439</v>
      </c>
      <c r="B412" s="8" t="str">
        <f t="shared" si="26"/>
        <v>→</v>
      </c>
      <c r="C412" s="11">
        <f t="shared" si="27"/>
        <v>0.113</v>
      </c>
      <c r="D412" s="2">
        <v>1658201199774</v>
      </c>
      <c r="E412" t="s">
        <v>0</v>
      </c>
      <c r="F412" s="1">
        <v>5</v>
      </c>
      <c r="G412" s="1">
        <v>21</v>
      </c>
      <c r="H412" s="1">
        <v>31</v>
      </c>
      <c r="I412" s="1">
        <v>9</v>
      </c>
      <c r="J412" s="1">
        <v>60</v>
      </c>
      <c r="K412" s="1" t="s">
        <v>11</v>
      </c>
      <c r="R412" t="str">
        <f t="shared" si="28"/>
        <v>PING FURNACE</v>
      </c>
    </row>
    <row r="413" spans="1:18" hidden="1" x14ac:dyDescent="0.25">
      <c r="A413" s="3">
        <f t="shared" si="25"/>
        <v>44761.560184421294</v>
      </c>
      <c r="B413" s="8" t="str">
        <f t="shared" si="26"/>
        <v>←</v>
      </c>
      <c r="C413" s="11">
        <f t="shared" si="27"/>
        <v>0.16</v>
      </c>
      <c r="D413" s="2">
        <v>1658201199934</v>
      </c>
      <c r="E413" t="s">
        <v>0</v>
      </c>
      <c r="F413" s="1">
        <v>5</v>
      </c>
      <c r="G413" s="1">
        <v>31</v>
      </c>
      <c r="H413" s="1">
        <v>21</v>
      </c>
      <c r="I413" s="1" t="s">
        <v>6</v>
      </c>
      <c r="J413" s="1">
        <v>3</v>
      </c>
      <c r="K413" s="1" t="s">
        <v>7</v>
      </c>
      <c r="R413" t="str">
        <f t="shared" si="28"/>
        <v>Ack</v>
      </c>
    </row>
    <row r="414" spans="1:18" hidden="1" x14ac:dyDescent="0.25">
      <c r="A414" s="3">
        <f t="shared" si="25"/>
        <v>44761.56018576389</v>
      </c>
      <c r="B414" s="8" t="str">
        <f t="shared" si="26"/>
        <v>→</v>
      </c>
      <c r="C414" s="11">
        <f t="shared" si="27"/>
        <v>0.11600000000000001</v>
      </c>
      <c r="D414" s="2">
        <v>1658201200050</v>
      </c>
      <c r="E414" t="s">
        <v>0</v>
      </c>
      <c r="F414" s="1" t="s">
        <v>3</v>
      </c>
      <c r="G414" s="1">
        <v>21</v>
      </c>
      <c r="H414" s="1">
        <v>31</v>
      </c>
      <c r="I414" s="1" t="s">
        <v>3</v>
      </c>
      <c r="J414" s="1">
        <v>0</v>
      </c>
      <c r="K414" s="1">
        <v>12</v>
      </c>
      <c r="L414" s="1">
        <v>25</v>
      </c>
      <c r="M414" s="1">
        <v>1</v>
      </c>
      <c r="N414" s="1">
        <v>28</v>
      </c>
      <c r="O414" s="1">
        <v>0</v>
      </c>
      <c r="P414" s="1" t="s">
        <v>88</v>
      </c>
      <c r="Q414" s="1">
        <v>81</v>
      </c>
      <c r="R414" t="str">
        <f t="shared" si="28"/>
        <v>TEMPERATURE INFO Set:18 Actual:18.5 Countdown:40</v>
      </c>
    </row>
    <row r="415" spans="1:18" hidden="1" x14ac:dyDescent="0.25">
      <c r="A415" s="3">
        <f t="shared" si="25"/>
        <v>44761.560187395829</v>
      </c>
      <c r="B415" s="8" t="str">
        <f t="shared" si="26"/>
        <v>←</v>
      </c>
      <c r="C415" s="11">
        <f t="shared" si="27"/>
        <v>0.14099999999999999</v>
      </c>
      <c r="D415" s="2">
        <v>1658201200191</v>
      </c>
      <c r="E415" t="s">
        <v>0</v>
      </c>
      <c r="F415" s="1">
        <v>5</v>
      </c>
      <c r="G415" s="1">
        <v>31</v>
      </c>
      <c r="H415" s="1">
        <v>21</v>
      </c>
      <c r="I415" s="1" t="s">
        <v>6</v>
      </c>
      <c r="J415" s="1">
        <v>3</v>
      </c>
      <c r="K415" s="1" t="s">
        <v>7</v>
      </c>
      <c r="R415" t="str">
        <f t="shared" si="28"/>
        <v>Ack</v>
      </c>
    </row>
    <row r="416" spans="1:18" x14ac:dyDescent="0.25">
      <c r="A416" s="3">
        <f t="shared" si="25"/>
        <v>44761.560188576383</v>
      </c>
      <c r="B416" s="8" t="str">
        <f t="shared" si="26"/>
        <v>→</v>
      </c>
      <c r="C416" s="11">
        <f t="shared" si="27"/>
        <v>0.10199999999999999</v>
      </c>
      <c r="D416" s="2">
        <v>1658201200293</v>
      </c>
      <c r="E416" t="s">
        <v>0</v>
      </c>
      <c r="F416" s="1">
        <v>6</v>
      </c>
      <c r="G416" s="1">
        <v>21</v>
      </c>
      <c r="H416" s="1">
        <v>31</v>
      </c>
      <c r="I416" s="1">
        <v>29</v>
      </c>
      <c r="J416" s="1">
        <v>0</v>
      </c>
      <c r="K416" s="1" t="s">
        <v>13</v>
      </c>
      <c r="L416" s="1" t="s">
        <v>14</v>
      </c>
      <c r="R416" t="str">
        <f t="shared" si="28"/>
        <v>LONG PING FURNACE</v>
      </c>
    </row>
    <row r="417" spans="1:18" hidden="1" x14ac:dyDescent="0.25">
      <c r="A417" s="3">
        <f t="shared" si="25"/>
        <v>44761.560189837961</v>
      </c>
      <c r="B417" s="8" t="str">
        <f t="shared" si="26"/>
        <v>←</v>
      </c>
      <c r="C417" s="11">
        <f t="shared" si="27"/>
        <v>0.109</v>
      </c>
      <c r="D417" s="2">
        <v>1658201200402</v>
      </c>
      <c r="E417" t="s">
        <v>0</v>
      </c>
      <c r="F417" s="1">
        <v>5</v>
      </c>
      <c r="G417" s="1">
        <v>31</v>
      </c>
      <c r="H417" s="1">
        <v>21</v>
      </c>
      <c r="I417" s="1" t="s">
        <v>6</v>
      </c>
      <c r="J417" s="1">
        <v>3</v>
      </c>
      <c r="K417" s="1" t="s">
        <v>7</v>
      </c>
      <c r="R417" t="str">
        <f t="shared" si="28"/>
        <v>Ack</v>
      </c>
    </row>
    <row r="418" spans="1:18" hidden="1" x14ac:dyDescent="0.25">
      <c r="A418" s="3">
        <f t="shared" ref="A418:A481" si="29">D418/(1000*60*60*24)+25569+10/24</f>
        <v>44761.560191006945</v>
      </c>
      <c r="B418" s="8" t="str">
        <f t="shared" ref="B418:B481" si="30">IF(AND(G418=21,H418=31),"→",IF(AND(G418=31,H418=21),"←","Error"))</f>
        <v>→</v>
      </c>
      <c r="C418" s="11">
        <f t="shared" ref="C418:C481" si="31">(D418-D417)/1000</f>
        <v>0.10100000000000001</v>
      </c>
      <c r="D418" s="2">
        <v>1658201200503</v>
      </c>
      <c r="E418" t="s">
        <v>0</v>
      </c>
      <c r="F418" s="1">
        <v>5</v>
      </c>
      <c r="G418" s="1">
        <v>21</v>
      </c>
      <c r="H418" s="1">
        <v>31</v>
      </c>
      <c r="I418" s="1">
        <v>6</v>
      </c>
      <c r="J418" s="1">
        <v>60</v>
      </c>
      <c r="K418" s="1">
        <v>83</v>
      </c>
      <c r="R418" t="str">
        <f t="shared" si="28"/>
        <v>FURNACE STATUS REQUEST</v>
      </c>
    </row>
    <row r="419" spans="1:18" hidden="1" x14ac:dyDescent="0.25">
      <c r="A419" s="3">
        <f t="shared" si="29"/>
        <v>44761.560193101854</v>
      </c>
      <c r="B419" s="8" t="str">
        <f t="shared" si="30"/>
        <v>←</v>
      </c>
      <c r="C419" s="11">
        <f t="shared" si="31"/>
        <v>0.18099999999999999</v>
      </c>
      <c r="D419" s="2">
        <v>1658201200684</v>
      </c>
      <c r="E419" t="s">
        <v>0</v>
      </c>
      <c r="F419" s="1">
        <v>9</v>
      </c>
      <c r="G419" s="1">
        <v>31</v>
      </c>
      <c r="H419" s="1">
        <v>21</v>
      </c>
      <c r="I419" s="1" t="s">
        <v>1</v>
      </c>
      <c r="J419" s="1">
        <v>0</v>
      </c>
      <c r="K419" s="1">
        <v>0</v>
      </c>
      <c r="L419" s="1">
        <v>0</v>
      </c>
      <c r="M419" s="1">
        <v>0</v>
      </c>
      <c r="N419" s="1" t="s">
        <v>21</v>
      </c>
      <c r="O419" s="1" t="s">
        <v>22</v>
      </c>
      <c r="R419" t="str">
        <f t="shared" si="28"/>
        <v>FURNACE STATUS RESPONSE Fan:0 Ignition:0 Burner:0 Unknown:0</v>
      </c>
    </row>
    <row r="420" spans="1:18" hidden="1" x14ac:dyDescent="0.25">
      <c r="A420" s="3">
        <f t="shared" si="29"/>
        <v>44761.56087465278</v>
      </c>
      <c r="B420" s="8" t="str">
        <f t="shared" si="30"/>
        <v>→</v>
      </c>
      <c r="C420" s="11">
        <f t="shared" si="31"/>
        <v>58.886000000000003</v>
      </c>
      <c r="D420" s="2">
        <v>1658201259570</v>
      </c>
      <c r="E420" t="s">
        <v>0</v>
      </c>
      <c r="F420" s="1">
        <v>8</v>
      </c>
      <c r="G420" s="1">
        <v>21</v>
      </c>
      <c r="H420" s="1">
        <v>31</v>
      </c>
      <c r="I420" s="1">
        <v>7</v>
      </c>
      <c r="J420" s="1" t="s">
        <v>70</v>
      </c>
      <c r="K420" s="1">
        <v>16</v>
      </c>
      <c r="L420" s="1">
        <v>1</v>
      </c>
      <c r="M420" s="1">
        <v>60</v>
      </c>
      <c r="N420" s="1" t="s">
        <v>57</v>
      </c>
      <c r="R420" t="str">
        <f t="shared" si="28"/>
        <v>TIME 13:22 Tue</v>
      </c>
    </row>
    <row r="421" spans="1:18" hidden="1" x14ac:dyDescent="0.25">
      <c r="A421" s="3">
        <f t="shared" si="29"/>
        <v>44761.560876006937</v>
      </c>
      <c r="B421" s="8" t="str">
        <f t="shared" si="30"/>
        <v>←</v>
      </c>
      <c r="C421" s="11">
        <f t="shared" si="31"/>
        <v>0.11700000000000001</v>
      </c>
      <c r="D421" s="2">
        <v>1658201259687</v>
      </c>
      <c r="E421" t="s">
        <v>0</v>
      </c>
      <c r="F421" s="1">
        <v>5</v>
      </c>
      <c r="G421" s="1">
        <v>31</v>
      </c>
      <c r="H421" s="1">
        <v>21</v>
      </c>
      <c r="I421" s="1" t="s">
        <v>6</v>
      </c>
      <c r="J421" s="1">
        <v>3</v>
      </c>
      <c r="K421" s="1" t="s">
        <v>7</v>
      </c>
      <c r="R421" t="str">
        <f t="shared" si="28"/>
        <v>Ack</v>
      </c>
    </row>
    <row r="422" spans="1:18" hidden="1" x14ac:dyDescent="0.25">
      <c r="A422" s="3">
        <f t="shared" si="29"/>
        <v>44761.560877407406</v>
      </c>
      <c r="B422" s="8" t="str">
        <f t="shared" si="30"/>
        <v>→</v>
      </c>
      <c r="C422" s="11">
        <f t="shared" si="31"/>
        <v>0.121</v>
      </c>
      <c r="D422" s="2">
        <v>1658201259808</v>
      </c>
      <c r="E422" t="s">
        <v>0</v>
      </c>
      <c r="F422" s="1">
        <v>5</v>
      </c>
      <c r="G422" s="1">
        <v>21</v>
      </c>
      <c r="H422" s="1">
        <v>31</v>
      </c>
      <c r="I422" s="1">
        <v>9</v>
      </c>
      <c r="J422" s="1">
        <v>60</v>
      </c>
      <c r="K422" s="1" t="s">
        <v>11</v>
      </c>
      <c r="R422" t="str">
        <f t="shared" si="28"/>
        <v>PING FURNACE</v>
      </c>
    </row>
    <row r="423" spans="1:18" hidden="1" x14ac:dyDescent="0.25">
      <c r="A423" s="3">
        <f t="shared" si="29"/>
        <v>44761.560878645832</v>
      </c>
      <c r="B423" s="8" t="str">
        <f t="shared" si="30"/>
        <v>←</v>
      </c>
      <c r="C423" s="11">
        <f t="shared" si="31"/>
        <v>0.107</v>
      </c>
      <c r="D423" s="2">
        <v>1658201259915</v>
      </c>
      <c r="E423" t="s">
        <v>0</v>
      </c>
      <c r="F423" s="1">
        <v>5</v>
      </c>
      <c r="G423" s="1">
        <v>31</v>
      </c>
      <c r="H423" s="1">
        <v>21</v>
      </c>
      <c r="I423" s="1" t="s">
        <v>6</v>
      </c>
      <c r="J423" s="1">
        <v>3</v>
      </c>
      <c r="K423" s="1" t="s">
        <v>7</v>
      </c>
      <c r="R423" t="str">
        <f t="shared" si="28"/>
        <v>Ack</v>
      </c>
    </row>
    <row r="424" spans="1:18" hidden="1" x14ac:dyDescent="0.25">
      <c r="A424" s="3">
        <f t="shared" si="29"/>
        <v>44761.560880543977</v>
      </c>
      <c r="B424" s="8" t="str">
        <f t="shared" si="30"/>
        <v>→</v>
      </c>
      <c r="C424" s="11">
        <f t="shared" si="31"/>
        <v>0.16400000000000001</v>
      </c>
      <c r="D424" s="2">
        <v>1658201260079</v>
      </c>
      <c r="E424" t="s">
        <v>0</v>
      </c>
      <c r="F424" s="1" t="s">
        <v>3</v>
      </c>
      <c r="G424" s="1">
        <v>21</v>
      </c>
      <c r="H424" s="1">
        <v>31</v>
      </c>
      <c r="I424" s="1" t="s">
        <v>3</v>
      </c>
      <c r="J424" s="1">
        <v>0</v>
      </c>
      <c r="K424" s="1">
        <v>12</v>
      </c>
      <c r="L424" s="1">
        <v>25</v>
      </c>
      <c r="M424" s="1">
        <v>1</v>
      </c>
      <c r="N424" s="1">
        <v>0</v>
      </c>
      <c r="O424" s="1">
        <v>0</v>
      </c>
      <c r="P424" s="1">
        <v>32</v>
      </c>
      <c r="Q424" s="1">
        <v>81</v>
      </c>
      <c r="R424" t="str">
        <f t="shared" si="28"/>
        <v>TEMPERATURE INFO Set:18 Actual:18.5 Countdown:0</v>
      </c>
    </row>
    <row r="425" spans="1:18" hidden="1" x14ac:dyDescent="0.25">
      <c r="A425" s="3">
        <f t="shared" si="29"/>
        <v>44761.560881701385</v>
      </c>
      <c r="B425" s="8" t="str">
        <f t="shared" si="30"/>
        <v>←</v>
      </c>
      <c r="C425" s="11">
        <f t="shared" si="31"/>
        <v>0.1</v>
      </c>
      <c r="D425" s="2">
        <v>1658201260179</v>
      </c>
      <c r="E425" t="s">
        <v>0</v>
      </c>
      <c r="F425" s="1">
        <v>5</v>
      </c>
      <c r="G425" s="1">
        <v>31</v>
      </c>
      <c r="H425" s="1">
        <v>21</v>
      </c>
      <c r="I425" s="1" t="s">
        <v>6</v>
      </c>
      <c r="J425" s="1">
        <v>3</v>
      </c>
      <c r="K425" s="1" t="s">
        <v>7</v>
      </c>
      <c r="R425" t="str">
        <f t="shared" si="28"/>
        <v>Ack</v>
      </c>
    </row>
    <row r="426" spans="1:18" x14ac:dyDescent="0.25">
      <c r="A426" s="3">
        <f t="shared" si="29"/>
        <v>44761.560882939812</v>
      </c>
      <c r="B426" s="8" t="str">
        <f t="shared" si="30"/>
        <v>→</v>
      </c>
      <c r="C426" s="11">
        <f t="shared" si="31"/>
        <v>0.107</v>
      </c>
      <c r="D426" s="2">
        <v>1658201260286</v>
      </c>
      <c r="E426" t="s">
        <v>0</v>
      </c>
      <c r="F426" s="1">
        <v>6</v>
      </c>
      <c r="G426" s="1">
        <v>21</v>
      </c>
      <c r="H426" s="1">
        <v>31</v>
      </c>
      <c r="I426" s="1">
        <v>29</v>
      </c>
      <c r="J426" s="1">
        <v>0</v>
      </c>
      <c r="K426" s="1" t="s">
        <v>13</v>
      </c>
      <c r="L426" s="1" t="s">
        <v>14</v>
      </c>
      <c r="R426" t="str">
        <f t="shared" si="28"/>
        <v>LONG PING FURNACE</v>
      </c>
    </row>
    <row r="427" spans="1:18" hidden="1" x14ac:dyDescent="0.25">
      <c r="A427" s="3">
        <f t="shared" si="29"/>
        <v>44761.56088438657</v>
      </c>
      <c r="B427" s="8" t="str">
        <f t="shared" si="30"/>
        <v>←</v>
      </c>
      <c r="C427" s="11">
        <f t="shared" si="31"/>
        <v>0.125</v>
      </c>
      <c r="D427" s="2">
        <v>1658201260411</v>
      </c>
      <c r="E427" t="s">
        <v>0</v>
      </c>
      <c r="F427" s="1">
        <v>5</v>
      </c>
      <c r="G427" s="1">
        <v>31</v>
      </c>
      <c r="H427" s="1">
        <v>21</v>
      </c>
      <c r="I427" s="1" t="s">
        <v>6</v>
      </c>
      <c r="J427" s="1">
        <v>3</v>
      </c>
      <c r="K427" s="1" t="s">
        <v>7</v>
      </c>
      <c r="R427" t="str">
        <f t="shared" si="28"/>
        <v>Ack</v>
      </c>
    </row>
    <row r="428" spans="1:18" hidden="1" x14ac:dyDescent="0.25">
      <c r="A428" s="3">
        <f t="shared" si="29"/>
        <v>44761.5608855787</v>
      </c>
      <c r="B428" s="8" t="str">
        <f t="shared" si="30"/>
        <v>→</v>
      </c>
      <c r="C428" s="11">
        <f t="shared" si="31"/>
        <v>0.10299999999999999</v>
      </c>
      <c r="D428" s="2">
        <v>1658201260514</v>
      </c>
      <c r="E428" t="s">
        <v>0</v>
      </c>
      <c r="F428" s="1">
        <v>5</v>
      </c>
      <c r="G428" s="1">
        <v>21</v>
      </c>
      <c r="H428" s="1">
        <v>31</v>
      </c>
      <c r="I428" s="1">
        <v>6</v>
      </c>
      <c r="J428" s="1">
        <v>60</v>
      </c>
      <c r="K428" s="1">
        <v>83</v>
      </c>
      <c r="R428" t="str">
        <f t="shared" si="28"/>
        <v>FURNACE STATUS REQUEST</v>
      </c>
    </row>
    <row r="429" spans="1:18" hidden="1" x14ac:dyDescent="0.25">
      <c r="A429" s="3">
        <f t="shared" si="29"/>
        <v>44761.560887245367</v>
      </c>
      <c r="B429" s="8" t="str">
        <f t="shared" si="30"/>
        <v>←</v>
      </c>
      <c r="C429" s="11">
        <f t="shared" si="31"/>
        <v>0.14399999999999999</v>
      </c>
      <c r="D429" s="2">
        <v>1658201260658</v>
      </c>
      <c r="E429" t="s">
        <v>0</v>
      </c>
      <c r="F429" s="1">
        <v>9</v>
      </c>
      <c r="G429" s="1">
        <v>31</v>
      </c>
      <c r="H429" s="1">
        <v>21</v>
      </c>
      <c r="I429" s="1" t="s">
        <v>1</v>
      </c>
      <c r="J429" s="1">
        <v>0</v>
      </c>
      <c r="K429" s="1">
        <v>0</v>
      </c>
      <c r="L429" s="1">
        <v>0</v>
      </c>
      <c r="M429" s="1">
        <v>0</v>
      </c>
      <c r="N429" s="1" t="s">
        <v>21</v>
      </c>
      <c r="O429" s="1" t="s">
        <v>22</v>
      </c>
      <c r="R429" t="str">
        <f t="shared" si="28"/>
        <v>FURNACE STATUS RESPONSE Fan:0 Ignition:0 Burner:0 Unknown:0</v>
      </c>
    </row>
    <row r="430" spans="1:18" hidden="1" x14ac:dyDescent="0.25">
      <c r="A430" s="3">
        <f t="shared" si="29"/>
        <v>44761.561152777773</v>
      </c>
      <c r="B430" s="8" t="str">
        <f t="shared" si="30"/>
        <v>→</v>
      </c>
      <c r="C430" s="11">
        <f t="shared" si="31"/>
        <v>22.942</v>
      </c>
      <c r="D430" s="2">
        <v>1658201283600</v>
      </c>
      <c r="E430" t="s">
        <v>0</v>
      </c>
      <c r="F430" s="1" t="s">
        <v>3</v>
      </c>
      <c r="G430" s="1">
        <v>21</v>
      </c>
      <c r="H430" s="1">
        <v>31</v>
      </c>
      <c r="I430" s="1" t="s">
        <v>3</v>
      </c>
      <c r="J430" s="1" t="s">
        <v>6</v>
      </c>
      <c r="K430" s="1">
        <v>12</v>
      </c>
      <c r="L430" s="1">
        <v>24</v>
      </c>
      <c r="M430" s="1">
        <v>1</v>
      </c>
      <c r="N430" s="1" t="s">
        <v>4</v>
      </c>
      <c r="O430" s="1">
        <v>0</v>
      </c>
      <c r="P430" s="1">
        <v>36</v>
      </c>
      <c r="Q430" s="1">
        <v>78</v>
      </c>
      <c r="R430" t="str">
        <f t="shared" si="28"/>
        <v>TEMPERATURE INFO Set:18 Actual:18 Countdown:180</v>
      </c>
    </row>
    <row r="431" spans="1:18" hidden="1" x14ac:dyDescent="0.25">
      <c r="A431" s="3">
        <f t="shared" si="29"/>
        <v>44761.561153946757</v>
      </c>
      <c r="B431" s="8" t="str">
        <f t="shared" si="30"/>
        <v>←</v>
      </c>
      <c r="C431" s="11">
        <f t="shared" si="31"/>
        <v>0.10100000000000001</v>
      </c>
      <c r="D431" s="2">
        <v>1658201283701</v>
      </c>
      <c r="E431" t="s">
        <v>0</v>
      </c>
      <c r="F431" s="1">
        <v>5</v>
      </c>
      <c r="G431" s="1">
        <v>31</v>
      </c>
      <c r="H431" s="1">
        <v>21</v>
      </c>
      <c r="I431" s="1" t="s">
        <v>6</v>
      </c>
      <c r="J431" s="1">
        <v>3</v>
      </c>
      <c r="K431" s="1" t="s">
        <v>7</v>
      </c>
      <c r="R431" t="str">
        <f t="shared" si="28"/>
        <v>Ack</v>
      </c>
    </row>
    <row r="432" spans="1:18" hidden="1" x14ac:dyDescent="0.25">
      <c r="A432" s="3">
        <f t="shared" si="29"/>
        <v>44761.561155914351</v>
      </c>
      <c r="B432" s="8" t="str">
        <f t="shared" si="30"/>
        <v>←</v>
      </c>
      <c r="C432" s="11">
        <f t="shared" si="31"/>
        <v>0.17</v>
      </c>
      <c r="D432" s="2">
        <v>1658201283871</v>
      </c>
      <c r="E432" t="s">
        <v>0</v>
      </c>
      <c r="F432" s="1">
        <v>9</v>
      </c>
      <c r="G432" s="1">
        <v>31</v>
      </c>
      <c r="H432" s="1">
        <v>21</v>
      </c>
      <c r="I432" s="1">
        <v>5</v>
      </c>
      <c r="J432" s="1">
        <v>0</v>
      </c>
      <c r="K432" s="1">
        <v>23</v>
      </c>
      <c r="L432" s="1">
        <v>0</v>
      </c>
      <c r="M432" s="1">
        <v>0</v>
      </c>
      <c r="N432" s="1" t="s">
        <v>8</v>
      </c>
      <c r="O432" s="1">
        <v>20</v>
      </c>
      <c r="R432" t="str">
        <f t="shared" si="28"/>
        <v>FURNACE STATUS REPORT Fan:1 Ignition:1 Burner:0 Unknown:20</v>
      </c>
    </row>
    <row r="433" spans="1:18" hidden="1" x14ac:dyDescent="0.25">
      <c r="A433" s="3">
        <f t="shared" si="29"/>
        <v>44761.56115725694</v>
      </c>
      <c r="B433" s="8" t="str">
        <f t="shared" si="30"/>
        <v>→</v>
      </c>
      <c r="C433" s="11">
        <f t="shared" si="31"/>
        <v>0.11600000000000001</v>
      </c>
      <c r="D433" s="2">
        <v>1658201283987</v>
      </c>
      <c r="E433" t="s">
        <v>0</v>
      </c>
      <c r="F433" s="1">
        <v>5</v>
      </c>
      <c r="G433" s="1">
        <v>21</v>
      </c>
      <c r="H433" s="1">
        <v>31</v>
      </c>
      <c r="I433" s="1" t="s">
        <v>6</v>
      </c>
      <c r="J433" s="1">
        <v>62</v>
      </c>
      <c r="K433" s="1">
        <v>95</v>
      </c>
      <c r="R433" t="str">
        <f t="shared" si="28"/>
        <v>Ack</v>
      </c>
    </row>
    <row r="434" spans="1:18" hidden="1" x14ac:dyDescent="0.25">
      <c r="A434" s="3">
        <f t="shared" si="29"/>
        <v>44761.561326631941</v>
      </c>
      <c r="B434" s="8" t="str">
        <f t="shared" si="30"/>
        <v>←</v>
      </c>
      <c r="C434" s="11">
        <f t="shared" si="31"/>
        <v>14.634</v>
      </c>
      <c r="D434" s="2">
        <v>1658201298621</v>
      </c>
      <c r="E434" t="s">
        <v>0</v>
      </c>
      <c r="F434" s="1">
        <v>9</v>
      </c>
      <c r="G434" s="1">
        <v>31</v>
      </c>
      <c r="H434" s="1">
        <v>21</v>
      </c>
      <c r="I434" s="1">
        <v>5</v>
      </c>
      <c r="J434" s="1">
        <v>0</v>
      </c>
      <c r="K434" s="1">
        <v>33</v>
      </c>
      <c r="L434" s="1">
        <v>0</v>
      </c>
      <c r="M434" s="1">
        <v>0</v>
      </c>
      <c r="N434" s="1">
        <v>58</v>
      </c>
      <c r="O434" s="1">
        <v>63</v>
      </c>
      <c r="R434" t="str">
        <f t="shared" si="28"/>
        <v>FURNACE STATUS REPORT Fan:1 Ignition:1 Burner:0 Unknown:30</v>
      </c>
    </row>
    <row r="435" spans="1:18" hidden="1" x14ac:dyDescent="0.25">
      <c r="A435" s="3">
        <f t="shared" si="29"/>
        <v>44761.561327731477</v>
      </c>
      <c r="B435" s="8" t="str">
        <f t="shared" si="30"/>
        <v>→</v>
      </c>
      <c r="C435" s="11">
        <f t="shared" si="31"/>
        <v>9.5000000000000001E-2</v>
      </c>
      <c r="D435" s="2">
        <v>1658201298716</v>
      </c>
      <c r="E435" t="s">
        <v>0</v>
      </c>
      <c r="F435" s="1">
        <v>5</v>
      </c>
      <c r="G435" s="1">
        <v>21</v>
      </c>
      <c r="H435" s="1">
        <v>31</v>
      </c>
      <c r="I435" s="1" t="s">
        <v>6</v>
      </c>
      <c r="J435" s="1">
        <v>62</v>
      </c>
      <c r="K435" s="1">
        <v>95</v>
      </c>
      <c r="R435" t="str">
        <f t="shared" si="28"/>
        <v>Ack</v>
      </c>
    </row>
    <row r="436" spans="1:18" hidden="1" x14ac:dyDescent="0.25">
      <c r="A436" s="3">
        <f t="shared" si="29"/>
        <v>44761.561420810183</v>
      </c>
      <c r="B436" s="8" t="str">
        <f t="shared" si="30"/>
        <v>←</v>
      </c>
      <c r="C436" s="11">
        <f t="shared" si="31"/>
        <v>8.0419999999999998</v>
      </c>
      <c r="D436" s="2">
        <v>1658201306758</v>
      </c>
      <c r="E436" t="s">
        <v>0</v>
      </c>
      <c r="F436" s="1">
        <v>9</v>
      </c>
      <c r="G436" s="1">
        <v>31</v>
      </c>
      <c r="H436" s="1">
        <v>21</v>
      </c>
      <c r="I436" s="1">
        <v>5</v>
      </c>
      <c r="J436" s="1">
        <v>0</v>
      </c>
      <c r="K436" s="1">
        <v>37</v>
      </c>
      <c r="L436" s="1">
        <v>0</v>
      </c>
      <c r="M436" s="1">
        <v>0</v>
      </c>
      <c r="N436" s="1" t="s">
        <v>26</v>
      </c>
      <c r="O436" s="1">
        <v>30</v>
      </c>
      <c r="R436" t="str">
        <f t="shared" si="28"/>
        <v>FURNACE STATUS REPORT Fan:1 Ignition:1 Burner:1 Unknown:30</v>
      </c>
    </row>
    <row r="437" spans="1:18" hidden="1" x14ac:dyDescent="0.25">
      <c r="A437" s="3">
        <f t="shared" si="29"/>
        <v>44761.561421562503</v>
      </c>
      <c r="B437" s="8" t="str">
        <f t="shared" si="30"/>
        <v>→</v>
      </c>
      <c r="C437" s="11">
        <f t="shared" si="31"/>
        <v>6.5000000000000002E-2</v>
      </c>
      <c r="D437" s="2">
        <v>1658201306823</v>
      </c>
      <c r="E437" t="s">
        <v>0</v>
      </c>
      <c r="F437" s="1">
        <v>5</v>
      </c>
      <c r="G437" s="1">
        <v>21</v>
      </c>
      <c r="H437" s="1">
        <v>31</v>
      </c>
      <c r="I437" s="1" t="s">
        <v>6</v>
      </c>
      <c r="J437" s="1">
        <v>62</v>
      </c>
      <c r="K437" s="1">
        <v>95</v>
      </c>
      <c r="R437" t="str">
        <f t="shared" si="28"/>
        <v>Ack</v>
      </c>
    </row>
    <row r="438" spans="1:18" hidden="1" x14ac:dyDescent="0.25">
      <c r="A438" s="3">
        <f t="shared" si="29"/>
        <v>44761.561468356478</v>
      </c>
      <c r="B438" s="8" t="str">
        <f t="shared" si="30"/>
        <v>←</v>
      </c>
      <c r="C438" s="11">
        <f t="shared" si="31"/>
        <v>4.0430000000000001</v>
      </c>
      <c r="D438" s="2">
        <v>1658201310866</v>
      </c>
      <c r="E438" t="s">
        <v>0</v>
      </c>
      <c r="F438" s="1">
        <v>9</v>
      </c>
      <c r="G438" s="1">
        <v>31</v>
      </c>
      <c r="H438" s="1">
        <v>21</v>
      </c>
      <c r="I438" s="1">
        <v>5</v>
      </c>
      <c r="J438" s="1">
        <v>0</v>
      </c>
      <c r="K438" s="1">
        <v>36</v>
      </c>
      <c r="L438" s="1">
        <v>0</v>
      </c>
      <c r="M438" s="1">
        <v>0</v>
      </c>
      <c r="N438" s="1">
        <v>58</v>
      </c>
      <c r="O438" s="1">
        <v>27</v>
      </c>
      <c r="R438" t="str">
        <f t="shared" si="28"/>
        <v>FURNACE STATUS REPORT Fan:0 Ignition:1 Burner:1 Unknown:30</v>
      </c>
    </row>
    <row r="439" spans="1:18" hidden="1" x14ac:dyDescent="0.25">
      <c r="A439" s="3">
        <f t="shared" si="29"/>
        <v>44761.561469421293</v>
      </c>
      <c r="B439" s="8" t="str">
        <f t="shared" si="30"/>
        <v>→</v>
      </c>
      <c r="C439" s="11">
        <f t="shared" si="31"/>
        <v>9.1999999999999998E-2</v>
      </c>
      <c r="D439" s="2">
        <v>1658201310958</v>
      </c>
      <c r="E439" t="s">
        <v>0</v>
      </c>
      <c r="F439" s="1">
        <v>5</v>
      </c>
      <c r="G439" s="1">
        <v>21</v>
      </c>
      <c r="H439" s="1">
        <v>31</v>
      </c>
      <c r="I439" s="1" t="s">
        <v>6</v>
      </c>
      <c r="J439" s="1">
        <v>62</v>
      </c>
      <c r="K439" s="1">
        <v>95</v>
      </c>
      <c r="R439" t="str">
        <f t="shared" si="28"/>
        <v>Ack</v>
      </c>
    </row>
    <row r="440" spans="1:18" hidden="1" x14ac:dyDescent="0.25">
      <c r="A440" s="3">
        <f t="shared" si="29"/>
        <v>44761.561501562501</v>
      </c>
      <c r="B440" s="8" t="str">
        <f t="shared" si="30"/>
        <v>←</v>
      </c>
      <c r="C440" s="11">
        <f t="shared" si="31"/>
        <v>2.7770000000000001</v>
      </c>
      <c r="D440" s="2">
        <v>1658201313735</v>
      </c>
      <c r="E440" t="s">
        <v>0</v>
      </c>
      <c r="F440" s="1">
        <v>9</v>
      </c>
      <c r="G440" s="1">
        <v>31</v>
      </c>
      <c r="H440" s="1">
        <v>21</v>
      </c>
      <c r="I440" s="1">
        <v>5</v>
      </c>
      <c r="J440" s="1">
        <v>0</v>
      </c>
      <c r="K440" s="1">
        <v>26</v>
      </c>
      <c r="L440" s="1">
        <v>0</v>
      </c>
      <c r="M440" s="1">
        <v>0</v>
      </c>
      <c r="N440" s="1" t="s">
        <v>8</v>
      </c>
      <c r="O440" s="1">
        <v>64</v>
      </c>
      <c r="R440" t="str">
        <f t="shared" si="28"/>
        <v>FURNACE STATUS REPORT Fan:0 Ignition:1 Burner:1 Unknown:20</v>
      </c>
    </row>
    <row r="441" spans="1:18" hidden="1" x14ac:dyDescent="0.25">
      <c r="A441" s="3">
        <f t="shared" si="29"/>
        <v>44761.561502511577</v>
      </c>
      <c r="B441" s="8" t="str">
        <f t="shared" si="30"/>
        <v>→</v>
      </c>
      <c r="C441" s="11">
        <f t="shared" si="31"/>
        <v>8.2000000000000003E-2</v>
      </c>
      <c r="D441" s="2">
        <v>1658201313817</v>
      </c>
      <c r="E441" t="s">
        <v>0</v>
      </c>
      <c r="F441" s="1">
        <v>5</v>
      </c>
      <c r="G441" s="1">
        <v>21</v>
      </c>
      <c r="H441" s="1">
        <v>31</v>
      </c>
      <c r="I441" s="1" t="s">
        <v>6</v>
      </c>
      <c r="J441" s="1">
        <v>62</v>
      </c>
      <c r="K441" s="1">
        <v>95</v>
      </c>
      <c r="R441" t="str">
        <f t="shared" si="28"/>
        <v>Ack</v>
      </c>
    </row>
    <row r="442" spans="1:18" hidden="1" x14ac:dyDescent="0.25">
      <c r="A442" s="3">
        <f t="shared" si="29"/>
        <v>44761.561569097219</v>
      </c>
      <c r="B442" s="8" t="str">
        <f t="shared" si="30"/>
        <v>→</v>
      </c>
      <c r="C442" s="11">
        <f t="shared" si="31"/>
        <v>5.7530000000000001</v>
      </c>
      <c r="D442" s="2">
        <v>1658201319570</v>
      </c>
      <c r="E442" t="s">
        <v>0</v>
      </c>
      <c r="F442" s="1">
        <v>8</v>
      </c>
      <c r="G442" s="1">
        <v>21</v>
      </c>
      <c r="H442" s="1">
        <v>31</v>
      </c>
      <c r="I442" s="1">
        <v>7</v>
      </c>
      <c r="J442" s="1" t="s">
        <v>70</v>
      </c>
      <c r="K442" s="1">
        <v>17</v>
      </c>
      <c r="L442" s="1">
        <v>1</v>
      </c>
      <c r="M442" s="1" t="s">
        <v>23</v>
      </c>
      <c r="N442" s="1" t="s">
        <v>109</v>
      </c>
      <c r="R442" t="str">
        <f t="shared" si="28"/>
        <v>TIME 13:23 Tue</v>
      </c>
    </row>
    <row r="443" spans="1:18" hidden="1" x14ac:dyDescent="0.25">
      <c r="A443" s="3">
        <f t="shared" si="29"/>
        <v>44761.561570324069</v>
      </c>
      <c r="B443" s="8" t="str">
        <f t="shared" si="30"/>
        <v>←</v>
      </c>
      <c r="C443" s="11">
        <f t="shared" si="31"/>
        <v>0.106</v>
      </c>
      <c r="D443" s="2">
        <v>1658201319676</v>
      </c>
      <c r="E443" t="s">
        <v>0</v>
      </c>
      <c r="F443" s="1">
        <v>5</v>
      </c>
      <c r="G443" s="1">
        <v>31</v>
      </c>
      <c r="H443" s="1">
        <v>21</v>
      </c>
      <c r="I443" s="1" t="s">
        <v>6</v>
      </c>
      <c r="J443" s="1">
        <v>3</v>
      </c>
      <c r="K443" s="1" t="s">
        <v>7</v>
      </c>
      <c r="R443" t="str">
        <f t="shared" si="28"/>
        <v>Ack</v>
      </c>
    </row>
    <row r="444" spans="1:18" hidden="1" x14ac:dyDescent="0.25">
      <c r="A444" s="3">
        <f t="shared" si="29"/>
        <v>44761.561571840277</v>
      </c>
      <c r="B444" s="8" t="str">
        <f t="shared" si="30"/>
        <v>→</v>
      </c>
      <c r="C444" s="11">
        <f t="shared" si="31"/>
        <v>0.13100000000000001</v>
      </c>
      <c r="D444" s="2">
        <v>1658201319807</v>
      </c>
      <c r="E444" t="s">
        <v>0</v>
      </c>
      <c r="F444" s="1">
        <v>5</v>
      </c>
      <c r="G444" s="1">
        <v>21</v>
      </c>
      <c r="H444" s="1">
        <v>31</v>
      </c>
      <c r="I444" s="1">
        <v>9</v>
      </c>
      <c r="J444" s="1">
        <v>60</v>
      </c>
      <c r="K444" s="1" t="s">
        <v>11</v>
      </c>
      <c r="R444" t="str">
        <f t="shared" si="28"/>
        <v>PING FURNACE</v>
      </c>
    </row>
    <row r="445" spans="1:18" hidden="1" x14ac:dyDescent="0.25">
      <c r="A445" s="3">
        <f t="shared" si="29"/>
        <v>44761.561572962957</v>
      </c>
      <c r="B445" s="8" t="str">
        <f t="shared" si="30"/>
        <v>←</v>
      </c>
      <c r="C445" s="11">
        <f t="shared" si="31"/>
        <v>9.7000000000000003E-2</v>
      </c>
      <c r="D445" s="2">
        <v>1658201319904</v>
      </c>
      <c r="E445" t="s">
        <v>0</v>
      </c>
      <c r="F445" s="1">
        <v>5</v>
      </c>
      <c r="G445" s="1">
        <v>31</v>
      </c>
      <c r="H445" s="1">
        <v>21</v>
      </c>
      <c r="I445" s="1" t="s">
        <v>6</v>
      </c>
      <c r="J445" s="1">
        <v>3</v>
      </c>
      <c r="K445" s="1" t="s">
        <v>7</v>
      </c>
      <c r="R445" t="str">
        <f t="shared" si="28"/>
        <v>Ack</v>
      </c>
    </row>
    <row r="446" spans="1:18" hidden="1" x14ac:dyDescent="0.25">
      <c r="A446" s="3">
        <f t="shared" si="29"/>
        <v>44761.561574814812</v>
      </c>
      <c r="B446" s="8" t="str">
        <f t="shared" si="30"/>
        <v>→</v>
      </c>
      <c r="C446" s="11">
        <f t="shared" si="31"/>
        <v>0.16</v>
      </c>
      <c r="D446" s="2">
        <v>1658201320064</v>
      </c>
      <c r="E446" t="s">
        <v>0</v>
      </c>
      <c r="F446" s="1" t="s">
        <v>3</v>
      </c>
      <c r="G446" s="1">
        <v>21</v>
      </c>
      <c r="H446" s="1">
        <v>31</v>
      </c>
      <c r="I446" s="1" t="s">
        <v>3</v>
      </c>
      <c r="J446" s="1" t="s">
        <v>6</v>
      </c>
      <c r="K446" s="1">
        <v>12</v>
      </c>
      <c r="L446" s="1">
        <v>24</v>
      </c>
      <c r="M446" s="1">
        <v>1</v>
      </c>
      <c r="N446" s="1" t="s">
        <v>65</v>
      </c>
      <c r="O446" s="1">
        <v>0</v>
      </c>
      <c r="P446" s="1">
        <v>26</v>
      </c>
      <c r="Q446" s="1" t="s">
        <v>5</v>
      </c>
      <c r="R446" t="str">
        <f t="shared" si="28"/>
        <v>TEMPERATURE INFO Set:18 Actual:18 Countdown:140</v>
      </c>
    </row>
    <row r="447" spans="1:18" hidden="1" x14ac:dyDescent="0.25">
      <c r="A447" s="3">
        <f t="shared" si="29"/>
        <v>44761.561576412038</v>
      </c>
      <c r="B447" s="8" t="str">
        <f t="shared" si="30"/>
        <v>←</v>
      </c>
      <c r="C447" s="11">
        <f t="shared" si="31"/>
        <v>0.13800000000000001</v>
      </c>
      <c r="D447" s="2">
        <v>1658201320202</v>
      </c>
      <c r="E447" t="s">
        <v>0</v>
      </c>
      <c r="F447" s="1">
        <v>5</v>
      </c>
      <c r="G447" s="1">
        <v>31</v>
      </c>
      <c r="H447" s="1">
        <v>21</v>
      </c>
      <c r="I447" s="1" t="s">
        <v>6</v>
      </c>
      <c r="J447" s="1">
        <v>3</v>
      </c>
      <c r="K447" s="1" t="s">
        <v>7</v>
      </c>
      <c r="R447" t="str">
        <f t="shared" si="28"/>
        <v>Ack</v>
      </c>
    </row>
    <row r="448" spans="1:18" x14ac:dyDescent="0.25">
      <c r="A448" s="3">
        <f t="shared" si="29"/>
        <v>44761.561577546294</v>
      </c>
      <c r="B448" s="8" t="str">
        <f t="shared" si="30"/>
        <v>→</v>
      </c>
      <c r="C448" s="11">
        <f t="shared" si="31"/>
        <v>9.8000000000000004E-2</v>
      </c>
      <c r="D448" s="2">
        <v>1658201320300</v>
      </c>
      <c r="E448" t="s">
        <v>0</v>
      </c>
      <c r="F448" s="1">
        <v>6</v>
      </c>
      <c r="G448" s="1">
        <v>21</v>
      </c>
      <c r="H448" s="1">
        <v>31</v>
      </c>
      <c r="I448" s="1">
        <v>29</v>
      </c>
      <c r="J448" s="1">
        <v>0</v>
      </c>
      <c r="K448" s="1" t="s">
        <v>13</v>
      </c>
      <c r="L448" s="1" t="s">
        <v>14</v>
      </c>
      <c r="R448" t="str">
        <f t="shared" si="28"/>
        <v>LONG PING FURNACE</v>
      </c>
    </row>
    <row r="449" spans="1:18" hidden="1" x14ac:dyDescent="0.25">
      <c r="A449" s="3">
        <f t="shared" si="29"/>
        <v>44761.561579097215</v>
      </c>
      <c r="B449" s="8" t="str">
        <f t="shared" si="30"/>
        <v>←</v>
      </c>
      <c r="C449" s="11">
        <f t="shared" si="31"/>
        <v>0.13400000000000001</v>
      </c>
      <c r="D449" s="2">
        <v>1658201320434</v>
      </c>
      <c r="E449" t="s">
        <v>0</v>
      </c>
      <c r="F449" s="1">
        <v>5</v>
      </c>
      <c r="G449" s="1">
        <v>31</v>
      </c>
      <c r="H449" s="1">
        <v>21</v>
      </c>
      <c r="I449" s="1" t="s">
        <v>6</v>
      </c>
      <c r="J449" s="1">
        <v>3</v>
      </c>
      <c r="K449" s="1" t="s">
        <v>7</v>
      </c>
      <c r="R449" t="str">
        <f t="shared" si="28"/>
        <v>Ack</v>
      </c>
    </row>
    <row r="450" spans="1:18" hidden="1" x14ac:dyDescent="0.25">
      <c r="A450" s="3">
        <f t="shared" si="29"/>
        <v>44761.561580208327</v>
      </c>
      <c r="B450" s="8" t="str">
        <f t="shared" si="30"/>
        <v>→</v>
      </c>
      <c r="C450" s="11">
        <f t="shared" si="31"/>
        <v>9.6000000000000002E-2</v>
      </c>
      <c r="D450" s="2">
        <v>1658201320530</v>
      </c>
      <c r="E450" t="s">
        <v>0</v>
      </c>
      <c r="F450" s="1">
        <v>5</v>
      </c>
      <c r="G450" s="1">
        <v>21</v>
      </c>
      <c r="H450" s="1">
        <v>31</v>
      </c>
      <c r="I450" s="1">
        <v>6</v>
      </c>
      <c r="J450" s="1">
        <v>60</v>
      </c>
      <c r="K450" s="1">
        <v>83</v>
      </c>
      <c r="R450" t="str">
        <f t="shared" si="28"/>
        <v>FURNACE STATUS REQUEST</v>
      </c>
    </row>
    <row r="451" spans="1:18" hidden="1" x14ac:dyDescent="0.25">
      <c r="A451" s="3">
        <f t="shared" si="29"/>
        <v>44761.561582048605</v>
      </c>
      <c r="B451" s="8" t="str">
        <f t="shared" si="30"/>
        <v>←</v>
      </c>
      <c r="C451" s="11">
        <f t="shared" si="31"/>
        <v>0.159</v>
      </c>
      <c r="D451" s="2">
        <v>1658201320689</v>
      </c>
      <c r="E451" t="s">
        <v>0</v>
      </c>
      <c r="F451" s="1">
        <v>9</v>
      </c>
      <c r="G451" s="1">
        <v>31</v>
      </c>
      <c r="H451" s="1">
        <v>21</v>
      </c>
      <c r="I451" s="1" t="s">
        <v>1</v>
      </c>
      <c r="J451" s="1">
        <v>0</v>
      </c>
      <c r="K451" s="1">
        <v>26</v>
      </c>
      <c r="L451" s="1">
        <v>0</v>
      </c>
      <c r="M451" s="1">
        <v>0</v>
      </c>
      <c r="N451" s="1">
        <v>71</v>
      </c>
      <c r="O451" s="1">
        <v>37</v>
      </c>
      <c r="R451" t="str">
        <f t="shared" ref="R451:R514" si="32">IF(E451="Ok",_xlfn.SWITCH(I451,5,"FURNACE STATUS REPORT Fan:"&amp;IF(_xlfn.BITAND(HEX2DEC(K451),1),"1","0")&amp;" Ignition:"&amp;IF(_xlfn.BITAND(HEX2DEC(K451),2),"1","0")&amp;" Burner:"&amp;IF(_xlfn.BITAND(HEX2DEC(K451),4),"1","0")&amp;" Unknown:"&amp;DEC2HEX(_xlfn.BITAND(HEX2DEC(K451),248)),6,"FURNACE STATUS REQUEST",7,"TIME "&amp;HEX2DEC(J451)&amp;":"&amp;HEX2DEC(K451)&amp;" "&amp;CHOOSE(L451+1,"Mon","Tue","Wed","Thu","Fri","Sat","Sun"),9,"PING FURNACE","0B","TEMPERATURE INFO Set:"&amp;HEX2DEC(K451)&amp;" Actual:"&amp;HEX2DEC(L451)/2&amp;" Countdown:"&amp;HEX2DEC(N451),29,"LONG PING FURNACE","FB","FURNACE STATUS RESPONSE Fan:"&amp;IF(_xlfn.BITAND(HEX2DEC(K451),1),"1","0")&amp;" Ignition:"&amp;IF(_xlfn.BITAND(HEX2DEC(K451),2),"1","0")&amp;" Burner:"&amp;IF(_xlfn.BITAND(HEX2DEC(K451),4),"1","0")&amp;" Unknown:"&amp;DEC2HEX(_xlfn.BITAND(HEX2DEC(K451),248)),"FF","Ack"),"")</f>
        <v>FURNACE STATUS RESPONSE Fan:0 Ignition:1 Burner:1 Unknown:20</v>
      </c>
    </row>
    <row r="452" spans="1:18" hidden="1" x14ac:dyDescent="0.25">
      <c r="A452" s="3">
        <f t="shared" si="29"/>
        <v>44761.56158400463</v>
      </c>
      <c r="B452" s="8" t="str">
        <f t="shared" si="30"/>
        <v>←</v>
      </c>
      <c r="C452" s="11">
        <f t="shared" si="31"/>
        <v>0.16900000000000001</v>
      </c>
      <c r="D452" s="2">
        <v>1658201320858</v>
      </c>
      <c r="E452" t="s">
        <v>0</v>
      </c>
      <c r="F452" s="1">
        <v>9</v>
      </c>
      <c r="G452" s="1">
        <v>31</v>
      </c>
      <c r="H452" s="1">
        <v>21</v>
      </c>
      <c r="I452" s="1">
        <v>5</v>
      </c>
      <c r="J452" s="1">
        <v>0</v>
      </c>
      <c r="K452" s="1">
        <v>27</v>
      </c>
      <c r="L452" s="1">
        <v>0</v>
      </c>
      <c r="M452" s="1">
        <v>0</v>
      </c>
      <c r="N452" s="1">
        <v>59</v>
      </c>
      <c r="O452" s="1">
        <v>73</v>
      </c>
      <c r="R452" t="str">
        <f t="shared" si="32"/>
        <v>FURNACE STATUS REPORT Fan:1 Ignition:1 Burner:1 Unknown:20</v>
      </c>
    </row>
    <row r="453" spans="1:18" hidden="1" x14ac:dyDescent="0.25">
      <c r="A453" s="3">
        <f t="shared" si="29"/>
        <v>44761.56158509259</v>
      </c>
      <c r="B453" s="8" t="str">
        <f t="shared" si="30"/>
        <v>→</v>
      </c>
      <c r="C453" s="11">
        <f t="shared" si="31"/>
        <v>9.4E-2</v>
      </c>
      <c r="D453" s="2">
        <v>1658201320952</v>
      </c>
      <c r="E453" t="s">
        <v>0</v>
      </c>
      <c r="F453" s="1">
        <v>5</v>
      </c>
      <c r="G453" s="1">
        <v>21</v>
      </c>
      <c r="H453" s="1">
        <v>31</v>
      </c>
      <c r="I453" s="1" t="s">
        <v>6</v>
      </c>
      <c r="J453" s="1">
        <v>62</v>
      </c>
      <c r="K453" s="1">
        <v>95</v>
      </c>
      <c r="R453" t="str">
        <f t="shared" si="32"/>
        <v>Ack</v>
      </c>
    </row>
    <row r="454" spans="1:18" hidden="1" x14ac:dyDescent="0.25">
      <c r="A454" s="3">
        <f t="shared" si="29"/>
        <v>44761.562263449072</v>
      </c>
      <c r="B454" s="8" t="str">
        <f t="shared" si="30"/>
        <v>→</v>
      </c>
      <c r="C454" s="11">
        <f t="shared" si="31"/>
        <v>58.61</v>
      </c>
      <c r="D454" s="2">
        <v>1658201379562</v>
      </c>
      <c r="E454" t="s">
        <v>0</v>
      </c>
      <c r="F454" s="1">
        <v>8</v>
      </c>
      <c r="G454" s="1">
        <v>21</v>
      </c>
      <c r="H454" s="1">
        <v>31</v>
      </c>
      <c r="I454" s="1">
        <v>7</v>
      </c>
      <c r="J454" s="1" t="s">
        <v>70</v>
      </c>
      <c r="K454" s="1">
        <v>18</v>
      </c>
      <c r="L454" s="1">
        <v>1</v>
      </c>
      <c r="M454" s="1" t="s">
        <v>24</v>
      </c>
      <c r="N454" s="1" t="s">
        <v>109</v>
      </c>
      <c r="R454" t="str">
        <f t="shared" si="32"/>
        <v>TIME 13:24 Tue</v>
      </c>
    </row>
    <row r="455" spans="1:18" hidden="1" x14ac:dyDescent="0.25">
      <c r="A455" s="3">
        <f t="shared" si="29"/>
        <v>44761.562264837958</v>
      </c>
      <c r="B455" s="8" t="str">
        <f t="shared" si="30"/>
        <v>←</v>
      </c>
      <c r="C455" s="11">
        <f t="shared" si="31"/>
        <v>0.12</v>
      </c>
      <c r="D455" s="2">
        <v>1658201379682</v>
      </c>
      <c r="E455" t="s">
        <v>0</v>
      </c>
      <c r="F455" s="1">
        <v>5</v>
      </c>
      <c r="G455" s="1">
        <v>31</v>
      </c>
      <c r="H455" s="1">
        <v>21</v>
      </c>
      <c r="I455" s="1" t="s">
        <v>6</v>
      </c>
      <c r="J455" s="1">
        <v>3</v>
      </c>
      <c r="K455" s="1" t="s">
        <v>7</v>
      </c>
      <c r="R455" t="str">
        <f t="shared" si="32"/>
        <v>Ack</v>
      </c>
    </row>
    <row r="456" spans="1:18" hidden="1" x14ac:dyDescent="0.25">
      <c r="A456" s="3">
        <f t="shared" si="29"/>
        <v>44761.562265925924</v>
      </c>
      <c r="B456" s="8" t="str">
        <f t="shared" si="30"/>
        <v>→</v>
      </c>
      <c r="C456" s="11">
        <f t="shared" si="31"/>
        <v>9.4E-2</v>
      </c>
      <c r="D456" s="2">
        <v>1658201379776</v>
      </c>
      <c r="E456" t="s">
        <v>0</v>
      </c>
      <c r="F456" s="1">
        <v>5</v>
      </c>
      <c r="G456" s="1">
        <v>21</v>
      </c>
      <c r="H456" s="1">
        <v>31</v>
      </c>
      <c r="I456" s="1">
        <v>9</v>
      </c>
      <c r="J456" s="1">
        <v>60</v>
      </c>
      <c r="K456" s="1" t="s">
        <v>11</v>
      </c>
      <c r="R456" t="str">
        <f t="shared" si="32"/>
        <v>PING FURNACE</v>
      </c>
    </row>
    <row r="457" spans="1:18" hidden="1" x14ac:dyDescent="0.25">
      <c r="A457" s="3">
        <f t="shared" si="29"/>
        <v>44761.562267210647</v>
      </c>
      <c r="B457" s="8" t="str">
        <f t="shared" si="30"/>
        <v>←</v>
      </c>
      <c r="C457" s="11">
        <f t="shared" si="31"/>
        <v>0.111</v>
      </c>
      <c r="D457" s="2">
        <v>1658201379887</v>
      </c>
      <c r="E457" t="s">
        <v>0</v>
      </c>
      <c r="F457" s="1">
        <v>5</v>
      </c>
      <c r="G457" s="1">
        <v>31</v>
      </c>
      <c r="H457" s="1">
        <v>21</v>
      </c>
      <c r="I457" s="1" t="s">
        <v>6</v>
      </c>
      <c r="J457" s="1">
        <v>3</v>
      </c>
      <c r="K457" s="1" t="s">
        <v>7</v>
      </c>
      <c r="R457" t="str">
        <f t="shared" si="32"/>
        <v>Ack</v>
      </c>
    </row>
    <row r="458" spans="1:18" hidden="1" x14ac:dyDescent="0.25">
      <c r="A458" s="3">
        <f t="shared" si="29"/>
        <v>44761.562268946756</v>
      </c>
      <c r="B458" s="8" t="str">
        <f t="shared" si="30"/>
        <v>→</v>
      </c>
      <c r="C458" s="11">
        <f t="shared" si="31"/>
        <v>0.15</v>
      </c>
      <c r="D458" s="2">
        <v>1658201380037</v>
      </c>
      <c r="E458" t="s">
        <v>0</v>
      </c>
      <c r="F458" s="1" t="s">
        <v>3</v>
      </c>
      <c r="G458" s="1">
        <v>21</v>
      </c>
      <c r="H458" s="1">
        <v>31</v>
      </c>
      <c r="I458" s="1" t="s">
        <v>3</v>
      </c>
      <c r="J458" s="1" t="s">
        <v>6</v>
      </c>
      <c r="K458" s="1">
        <v>12</v>
      </c>
      <c r="L458" s="1">
        <v>24</v>
      </c>
      <c r="M458" s="1">
        <v>1</v>
      </c>
      <c r="N458" s="1">
        <v>50</v>
      </c>
      <c r="O458" s="1">
        <v>0</v>
      </c>
      <c r="P458" s="1" t="s">
        <v>95</v>
      </c>
      <c r="Q458" s="1">
        <v>77</v>
      </c>
      <c r="R458" t="str">
        <f t="shared" si="32"/>
        <v>TEMPERATURE INFO Set:18 Actual:18 Countdown:80</v>
      </c>
    </row>
    <row r="459" spans="1:18" hidden="1" x14ac:dyDescent="0.25">
      <c r="A459" s="3">
        <f t="shared" si="29"/>
        <v>44761.562270740738</v>
      </c>
      <c r="B459" s="8" t="str">
        <f t="shared" si="30"/>
        <v>←</v>
      </c>
      <c r="C459" s="11">
        <f t="shared" si="31"/>
        <v>0.155</v>
      </c>
      <c r="D459" s="2">
        <v>1658201380192</v>
      </c>
      <c r="E459" t="s">
        <v>0</v>
      </c>
      <c r="F459" s="1">
        <v>5</v>
      </c>
      <c r="G459" s="1">
        <v>31</v>
      </c>
      <c r="H459" s="1">
        <v>21</v>
      </c>
      <c r="I459" s="1" t="s">
        <v>6</v>
      </c>
      <c r="J459" s="1">
        <v>3</v>
      </c>
      <c r="K459" s="1" t="s">
        <v>7</v>
      </c>
      <c r="R459" t="str">
        <f t="shared" si="32"/>
        <v>Ack</v>
      </c>
    </row>
    <row r="460" spans="1:18" x14ac:dyDescent="0.25">
      <c r="A460" s="3">
        <f t="shared" si="29"/>
        <v>44761.562271678238</v>
      </c>
      <c r="B460" s="8" t="str">
        <f t="shared" si="30"/>
        <v>→</v>
      </c>
      <c r="C460" s="11">
        <f t="shared" si="31"/>
        <v>8.1000000000000003E-2</v>
      </c>
      <c r="D460" s="2">
        <v>1658201380273</v>
      </c>
      <c r="E460" t="s">
        <v>0</v>
      </c>
      <c r="F460" s="1">
        <v>6</v>
      </c>
      <c r="G460" s="1">
        <v>21</v>
      </c>
      <c r="H460" s="1">
        <v>31</v>
      </c>
      <c r="I460" s="1">
        <v>29</v>
      </c>
      <c r="J460" s="1">
        <v>0</v>
      </c>
      <c r="K460" s="1" t="s">
        <v>13</v>
      </c>
      <c r="L460" s="1" t="s">
        <v>14</v>
      </c>
      <c r="R460" t="str">
        <f t="shared" si="32"/>
        <v>LONG PING FURNACE</v>
      </c>
    </row>
    <row r="461" spans="1:18" hidden="1" x14ac:dyDescent="0.25">
      <c r="A461" s="3">
        <f t="shared" si="29"/>
        <v>44761.562273148149</v>
      </c>
      <c r="B461" s="8" t="str">
        <f t="shared" si="30"/>
        <v>←</v>
      </c>
      <c r="C461" s="11">
        <f t="shared" si="31"/>
        <v>0.127</v>
      </c>
      <c r="D461" s="2">
        <v>1658201380400</v>
      </c>
      <c r="E461" t="s">
        <v>0</v>
      </c>
      <c r="F461" s="1">
        <v>5</v>
      </c>
      <c r="G461" s="1">
        <v>31</v>
      </c>
      <c r="H461" s="1">
        <v>21</v>
      </c>
      <c r="I461" s="1" t="s">
        <v>6</v>
      </c>
      <c r="J461" s="1">
        <v>3</v>
      </c>
      <c r="K461" s="1" t="s">
        <v>7</v>
      </c>
      <c r="R461" t="str">
        <f t="shared" si="32"/>
        <v>Ack</v>
      </c>
    </row>
    <row r="462" spans="1:18" hidden="1" x14ac:dyDescent="0.25">
      <c r="A462" s="3">
        <f t="shared" si="29"/>
        <v>44761.562274131946</v>
      </c>
      <c r="B462" s="8" t="str">
        <f t="shared" si="30"/>
        <v>→</v>
      </c>
      <c r="C462" s="11">
        <f t="shared" si="31"/>
        <v>8.5000000000000006E-2</v>
      </c>
      <c r="D462" s="2">
        <v>1658201380485</v>
      </c>
      <c r="E462" t="s">
        <v>0</v>
      </c>
      <c r="F462" s="1">
        <v>5</v>
      </c>
      <c r="G462" s="1">
        <v>21</v>
      </c>
      <c r="H462" s="1">
        <v>31</v>
      </c>
      <c r="I462" s="1">
        <v>6</v>
      </c>
      <c r="J462" s="1">
        <v>60</v>
      </c>
      <c r="K462" s="1">
        <v>83</v>
      </c>
      <c r="R462" t="str">
        <f t="shared" si="32"/>
        <v>FURNACE STATUS REQUEST</v>
      </c>
    </row>
    <row r="463" spans="1:18" hidden="1" x14ac:dyDescent="0.25">
      <c r="A463" s="3">
        <f t="shared" si="29"/>
        <v>44761.56227603009</v>
      </c>
      <c r="B463" s="8" t="str">
        <f t="shared" si="30"/>
        <v>←</v>
      </c>
      <c r="C463" s="11">
        <f t="shared" si="31"/>
        <v>0.16400000000000001</v>
      </c>
      <c r="D463" s="2">
        <v>1658201380649</v>
      </c>
      <c r="E463" t="s">
        <v>0</v>
      </c>
      <c r="F463" s="1">
        <v>9</v>
      </c>
      <c r="G463" s="1">
        <v>31</v>
      </c>
      <c r="H463" s="1">
        <v>21</v>
      </c>
      <c r="I463" s="1" t="s">
        <v>1</v>
      </c>
      <c r="J463" s="1">
        <v>0</v>
      </c>
      <c r="K463" s="1">
        <v>27</v>
      </c>
      <c r="L463" s="1">
        <v>0</v>
      </c>
      <c r="M463" s="1">
        <v>0</v>
      </c>
      <c r="N463" s="1" t="s">
        <v>2</v>
      </c>
      <c r="O463" s="1">
        <v>20</v>
      </c>
      <c r="R463" t="str">
        <f t="shared" si="32"/>
        <v>FURNACE STATUS RESPONSE Fan:1 Ignition:1 Burner:1 Unknown:20</v>
      </c>
    </row>
    <row r="464" spans="1:18" hidden="1" x14ac:dyDescent="0.25">
      <c r="A464" s="3">
        <f t="shared" si="29"/>
        <v>44761.562958252311</v>
      </c>
      <c r="B464" s="8" t="str">
        <f t="shared" si="30"/>
        <v>→</v>
      </c>
      <c r="C464" s="11">
        <f t="shared" si="31"/>
        <v>58.944000000000003</v>
      </c>
      <c r="D464" s="2">
        <v>1658201439593</v>
      </c>
      <c r="E464" t="s">
        <v>0</v>
      </c>
      <c r="F464" s="1">
        <v>8</v>
      </c>
      <c r="G464" s="1">
        <v>21</v>
      </c>
      <c r="H464" s="1">
        <v>31</v>
      </c>
      <c r="I464" s="1">
        <v>7</v>
      </c>
      <c r="J464" s="1" t="s">
        <v>70</v>
      </c>
      <c r="K464" s="1">
        <v>19</v>
      </c>
      <c r="L464" s="1">
        <v>1</v>
      </c>
      <c r="M464" s="1">
        <v>42</v>
      </c>
      <c r="N464" s="1" t="s">
        <v>57</v>
      </c>
      <c r="R464" t="str">
        <f t="shared" si="32"/>
        <v>TIME 13:25 Tue</v>
      </c>
    </row>
    <row r="465" spans="1:18" hidden="1" x14ac:dyDescent="0.25">
      <c r="A465" s="3">
        <f t="shared" si="29"/>
        <v>44761.562959479161</v>
      </c>
      <c r="B465" s="8" t="str">
        <f t="shared" si="30"/>
        <v>←</v>
      </c>
      <c r="C465" s="11">
        <f t="shared" si="31"/>
        <v>0.106</v>
      </c>
      <c r="D465" s="2">
        <v>1658201439699</v>
      </c>
      <c r="E465" t="s">
        <v>0</v>
      </c>
      <c r="F465" s="1">
        <v>5</v>
      </c>
      <c r="G465" s="1">
        <v>31</v>
      </c>
      <c r="H465" s="1">
        <v>21</v>
      </c>
      <c r="I465" s="1" t="s">
        <v>6</v>
      </c>
      <c r="J465" s="1">
        <v>3</v>
      </c>
      <c r="K465" s="1" t="s">
        <v>7</v>
      </c>
      <c r="R465" t="str">
        <f t="shared" si="32"/>
        <v>Ack</v>
      </c>
    </row>
    <row r="466" spans="1:18" hidden="1" x14ac:dyDescent="0.25">
      <c r="A466" s="3">
        <f t="shared" si="29"/>
        <v>44761.562960694442</v>
      </c>
      <c r="B466" s="8" t="str">
        <f t="shared" si="30"/>
        <v>→</v>
      </c>
      <c r="C466" s="11">
        <f t="shared" si="31"/>
        <v>0.105</v>
      </c>
      <c r="D466" s="2">
        <v>1658201439804</v>
      </c>
      <c r="E466" t="s">
        <v>0</v>
      </c>
      <c r="F466" s="1">
        <v>5</v>
      </c>
      <c r="G466" s="1">
        <v>21</v>
      </c>
      <c r="H466" s="1">
        <v>31</v>
      </c>
      <c r="I466" s="1">
        <v>9</v>
      </c>
      <c r="J466" s="1">
        <v>60</v>
      </c>
      <c r="K466" s="1" t="s">
        <v>11</v>
      </c>
      <c r="R466" t="str">
        <f t="shared" si="32"/>
        <v>PING FURNACE</v>
      </c>
    </row>
    <row r="467" spans="1:18" hidden="1" x14ac:dyDescent="0.25">
      <c r="A467" s="3">
        <f t="shared" si="29"/>
        <v>44761.562961921292</v>
      </c>
      <c r="B467" s="8" t="str">
        <f t="shared" si="30"/>
        <v>←</v>
      </c>
      <c r="C467" s="11">
        <f t="shared" si="31"/>
        <v>0.106</v>
      </c>
      <c r="D467" s="2">
        <v>1658201439910</v>
      </c>
      <c r="E467" t="s">
        <v>0</v>
      </c>
      <c r="F467" s="1">
        <v>5</v>
      </c>
      <c r="G467" s="1">
        <v>31</v>
      </c>
      <c r="H467" s="1">
        <v>21</v>
      </c>
      <c r="I467" s="1" t="s">
        <v>6</v>
      </c>
      <c r="J467" s="1">
        <v>3</v>
      </c>
      <c r="K467" s="1" t="s">
        <v>7</v>
      </c>
      <c r="R467" t="str">
        <f t="shared" si="32"/>
        <v>Ack</v>
      </c>
    </row>
    <row r="468" spans="1:18" hidden="1" x14ac:dyDescent="0.25">
      <c r="A468" s="3">
        <f t="shared" si="29"/>
        <v>44761.562963831013</v>
      </c>
      <c r="B468" s="8" t="str">
        <f t="shared" si="30"/>
        <v>→</v>
      </c>
      <c r="C468" s="11">
        <f t="shared" si="31"/>
        <v>0.16500000000000001</v>
      </c>
      <c r="D468" s="2">
        <v>1658201440075</v>
      </c>
      <c r="E468" t="s">
        <v>0</v>
      </c>
      <c r="F468" s="1" t="s">
        <v>3</v>
      </c>
      <c r="G468" s="1">
        <v>21</v>
      </c>
      <c r="H468" s="1">
        <v>31</v>
      </c>
      <c r="I468" s="1" t="s">
        <v>3</v>
      </c>
      <c r="J468" s="1" t="s">
        <v>6</v>
      </c>
      <c r="K468" s="1">
        <v>12</v>
      </c>
      <c r="L468" s="1">
        <v>25</v>
      </c>
      <c r="M468" s="1">
        <v>1</v>
      </c>
      <c r="N468" s="1">
        <v>14</v>
      </c>
      <c r="O468" s="1">
        <v>0</v>
      </c>
      <c r="P468" s="1">
        <v>62</v>
      </c>
      <c r="Q468" s="1">
        <v>71</v>
      </c>
      <c r="R468" t="str">
        <f t="shared" si="32"/>
        <v>TEMPERATURE INFO Set:18 Actual:18.5 Countdown:20</v>
      </c>
    </row>
    <row r="469" spans="1:18" hidden="1" x14ac:dyDescent="0.25">
      <c r="A469" s="3">
        <f t="shared" si="29"/>
        <v>44761.562964895835</v>
      </c>
      <c r="B469" s="8" t="str">
        <f t="shared" si="30"/>
        <v>←</v>
      </c>
      <c r="C469" s="11">
        <f t="shared" si="31"/>
        <v>9.1999999999999998E-2</v>
      </c>
      <c r="D469" s="2">
        <v>1658201440167</v>
      </c>
      <c r="E469" t="s">
        <v>0</v>
      </c>
      <c r="F469" s="1">
        <v>5</v>
      </c>
      <c r="G469" s="1">
        <v>31</v>
      </c>
      <c r="H469" s="1">
        <v>21</v>
      </c>
      <c r="I469" s="1" t="s">
        <v>6</v>
      </c>
      <c r="J469" s="1">
        <v>3</v>
      </c>
      <c r="K469" s="1" t="s">
        <v>7</v>
      </c>
      <c r="R469" t="str">
        <f t="shared" si="32"/>
        <v>Ack</v>
      </c>
    </row>
    <row r="470" spans="1:18" x14ac:dyDescent="0.25">
      <c r="A470" s="3">
        <f t="shared" si="29"/>
        <v>44761.562966331017</v>
      </c>
      <c r="B470" s="8" t="str">
        <f t="shared" si="30"/>
        <v>→</v>
      </c>
      <c r="C470" s="11">
        <f t="shared" si="31"/>
        <v>0.124</v>
      </c>
      <c r="D470" s="2">
        <v>1658201440291</v>
      </c>
      <c r="E470" t="s">
        <v>0</v>
      </c>
      <c r="F470" s="1">
        <v>6</v>
      </c>
      <c r="G470" s="1">
        <v>21</v>
      </c>
      <c r="H470" s="1">
        <v>31</v>
      </c>
      <c r="I470" s="1">
        <v>29</v>
      </c>
      <c r="J470" s="1">
        <v>0</v>
      </c>
      <c r="K470" s="1" t="s">
        <v>13</v>
      </c>
      <c r="L470" s="1" t="s">
        <v>14</v>
      </c>
      <c r="R470" t="str">
        <f t="shared" si="32"/>
        <v>LONG PING FURNACE</v>
      </c>
    </row>
    <row r="471" spans="1:18" hidden="1" x14ac:dyDescent="0.25">
      <c r="A471" s="3">
        <f t="shared" si="29"/>
        <v>44761.562967650461</v>
      </c>
      <c r="B471" s="8" t="str">
        <f t="shared" si="30"/>
        <v>←</v>
      </c>
      <c r="C471" s="11">
        <f t="shared" si="31"/>
        <v>0.114</v>
      </c>
      <c r="D471" s="2">
        <v>1658201440405</v>
      </c>
      <c r="E471" t="s">
        <v>0</v>
      </c>
      <c r="F471" s="1">
        <v>5</v>
      </c>
      <c r="G471" s="1">
        <v>31</v>
      </c>
      <c r="H471" s="1">
        <v>21</v>
      </c>
      <c r="I471" s="1" t="s">
        <v>6</v>
      </c>
      <c r="J471" s="1">
        <v>3</v>
      </c>
      <c r="K471" s="1" t="s">
        <v>7</v>
      </c>
      <c r="R471" t="str">
        <f t="shared" si="32"/>
        <v>Ack</v>
      </c>
    </row>
    <row r="472" spans="1:18" hidden="1" x14ac:dyDescent="0.25">
      <c r="A472" s="3">
        <f t="shared" si="29"/>
        <v>44761.562968680555</v>
      </c>
      <c r="B472" s="8" t="str">
        <f t="shared" si="30"/>
        <v>→</v>
      </c>
      <c r="C472" s="11">
        <f t="shared" si="31"/>
        <v>8.8999999999999996E-2</v>
      </c>
      <c r="D472" s="2">
        <v>1658201440494</v>
      </c>
      <c r="E472" t="s">
        <v>0</v>
      </c>
      <c r="F472" s="1">
        <v>5</v>
      </c>
      <c r="G472" s="1">
        <v>21</v>
      </c>
      <c r="H472" s="1">
        <v>31</v>
      </c>
      <c r="I472" s="1">
        <v>6</v>
      </c>
      <c r="J472" s="1">
        <v>60</v>
      </c>
      <c r="K472" s="1">
        <v>83</v>
      </c>
      <c r="R472" t="str">
        <f t="shared" si="32"/>
        <v>FURNACE STATUS REQUEST</v>
      </c>
    </row>
    <row r="473" spans="1:18" hidden="1" x14ac:dyDescent="0.25">
      <c r="A473" s="3">
        <f t="shared" si="29"/>
        <v>44761.562970451385</v>
      </c>
      <c r="B473" s="8" t="str">
        <f t="shared" si="30"/>
        <v>←</v>
      </c>
      <c r="C473" s="11">
        <f t="shared" si="31"/>
        <v>0.153</v>
      </c>
      <c r="D473" s="2">
        <v>1658201440647</v>
      </c>
      <c r="E473" t="s">
        <v>0</v>
      </c>
      <c r="F473" s="1">
        <v>9</v>
      </c>
      <c r="G473" s="1">
        <v>31</v>
      </c>
      <c r="H473" s="1">
        <v>21</v>
      </c>
      <c r="I473" s="1" t="s">
        <v>1</v>
      </c>
      <c r="J473" s="1">
        <v>0</v>
      </c>
      <c r="K473" s="1">
        <v>27</v>
      </c>
      <c r="L473" s="1">
        <v>0</v>
      </c>
      <c r="M473" s="1">
        <v>0</v>
      </c>
      <c r="N473" s="1" t="s">
        <v>2</v>
      </c>
      <c r="O473" s="1">
        <v>20</v>
      </c>
      <c r="R473" t="str">
        <f t="shared" si="32"/>
        <v>FURNACE STATUS RESPONSE Fan:1 Ignition:1 Burner:1 Unknown:20</v>
      </c>
    </row>
    <row r="474" spans="1:18" hidden="1" x14ac:dyDescent="0.25">
      <c r="A474" s="3">
        <f t="shared" si="29"/>
        <v>44761.563155590273</v>
      </c>
      <c r="B474" s="8" t="str">
        <f t="shared" si="30"/>
        <v>→</v>
      </c>
      <c r="C474" s="11">
        <f t="shared" si="31"/>
        <v>15.996</v>
      </c>
      <c r="D474" s="2">
        <v>1658201456643</v>
      </c>
      <c r="E474" t="s">
        <v>0</v>
      </c>
      <c r="F474" s="1" t="s">
        <v>3</v>
      </c>
      <c r="G474" s="1">
        <v>21</v>
      </c>
      <c r="H474" s="1">
        <v>31</v>
      </c>
      <c r="I474" s="1" t="s">
        <v>3</v>
      </c>
      <c r="J474" s="1">
        <v>0</v>
      </c>
      <c r="K474" s="1">
        <v>12</v>
      </c>
      <c r="L474" s="1">
        <v>25</v>
      </c>
      <c r="M474" s="1">
        <v>1</v>
      </c>
      <c r="N474" s="1" t="s">
        <v>4</v>
      </c>
      <c r="O474" s="1">
        <v>0</v>
      </c>
      <c r="P474" s="1" t="s">
        <v>101</v>
      </c>
      <c r="Q474" s="1" t="s">
        <v>108</v>
      </c>
      <c r="R474" t="str">
        <f t="shared" si="32"/>
        <v>TEMPERATURE INFO Set:18 Actual:18.5 Countdown:180</v>
      </c>
    </row>
    <row r="475" spans="1:18" hidden="1" x14ac:dyDescent="0.25">
      <c r="A475" s="3">
        <f t="shared" si="29"/>
        <v>44761.563156701384</v>
      </c>
      <c r="B475" s="8" t="str">
        <f t="shared" si="30"/>
        <v>←</v>
      </c>
      <c r="C475" s="11">
        <f t="shared" si="31"/>
        <v>9.6000000000000002E-2</v>
      </c>
      <c r="D475" s="2">
        <v>1658201456739</v>
      </c>
      <c r="E475" t="s">
        <v>0</v>
      </c>
      <c r="F475" s="1">
        <v>5</v>
      </c>
      <c r="G475" s="1">
        <v>31</v>
      </c>
      <c r="H475" s="1">
        <v>21</v>
      </c>
      <c r="I475" s="1" t="s">
        <v>6</v>
      </c>
      <c r="J475" s="1">
        <v>3</v>
      </c>
      <c r="K475" s="1" t="s">
        <v>7</v>
      </c>
      <c r="R475" t="str">
        <f t="shared" si="32"/>
        <v>Ack</v>
      </c>
    </row>
    <row r="476" spans="1:18" hidden="1" x14ac:dyDescent="0.25">
      <c r="A476" s="3">
        <f t="shared" si="29"/>
        <v>44761.563158842589</v>
      </c>
      <c r="B476" s="8" t="str">
        <f t="shared" si="30"/>
        <v>←</v>
      </c>
      <c r="C476" s="11">
        <f t="shared" si="31"/>
        <v>0.185</v>
      </c>
      <c r="D476" s="2">
        <v>1658201456924</v>
      </c>
      <c r="E476" t="s">
        <v>0</v>
      </c>
      <c r="F476" s="1">
        <v>9</v>
      </c>
      <c r="G476" s="1">
        <v>31</v>
      </c>
      <c r="H476" s="1">
        <v>21</v>
      </c>
      <c r="I476" s="1">
        <v>5</v>
      </c>
      <c r="J476" s="1">
        <v>0</v>
      </c>
      <c r="K476" s="1">
        <v>23</v>
      </c>
      <c r="L476" s="1">
        <v>0</v>
      </c>
      <c r="M476" s="1">
        <v>0</v>
      </c>
      <c r="N476" s="1" t="s">
        <v>8</v>
      </c>
      <c r="O476" s="1">
        <v>20</v>
      </c>
      <c r="R476" t="str">
        <f t="shared" si="32"/>
        <v>FURNACE STATUS REPORT Fan:1 Ignition:1 Burner:0 Unknown:20</v>
      </c>
    </row>
    <row r="477" spans="1:18" hidden="1" x14ac:dyDescent="0.25">
      <c r="A477" s="3">
        <f t="shared" si="29"/>
        <v>44761.563159791665</v>
      </c>
      <c r="B477" s="8" t="str">
        <f t="shared" si="30"/>
        <v>→</v>
      </c>
      <c r="C477" s="11">
        <f t="shared" si="31"/>
        <v>8.2000000000000003E-2</v>
      </c>
      <c r="D477" s="2">
        <v>1658201457006</v>
      </c>
      <c r="E477" t="s">
        <v>0</v>
      </c>
      <c r="F477" s="1">
        <v>5</v>
      </c>
      <c r="G477" s="1">
        <v>21</v>
      </c>
      <c r="H477" s="1">
        <v>31</v>
      </c>
      <c r="I477" s="1" t="s">
        <v>6</v>
      </c>
      <c r="J477" s="1">
        <v>62</v>
      </c>
      <c r="K477" s="1">
        <v>95</v>
      </c>
      <c r="R477" t="str">
        <f t="shared" si="32"/>
        <v>Ack</v>
      </c>
    </row>
    <row r="478" spans="1:18" hidden="1" x14ac:dyDescent="0.25">
      <c r="A478" s="3">
        <f t="shared" si="29"/>
        <v>44761.563652557867</v>
      </c>
      <c r="B478" s="8" t="str">
        <f t="shared" si="30"/>
        <v>→</v>
      </c>
      <c r="C478" s="11">
        <f t="shared" si="31"/>
        <v>42.575000000000003</v>
      </c>
      <c r="D478" s="2">
        <v>1658201499581</v>
      </c>
      <c r="E478" t="s">
        <v>0</v>
      </c>
      <c r="F478" s="1">
        <v>8</v>
      </c>
      <c r="G478" s="1">
        <v>21</v>
      </c>
      <c r="H478" s="1">
        <v>31</v>
      </c>
      <c r="I478" s="1">
        <v>7</v>
      </c>
      <c r="J478" s="1" t="s">
        <v>70</v>
      </c>
      <c r="K478" s="1" t="s">
        <v>27</v>
      </c>
      <c r="L478" s="1">
        <v>1</v>
      </c>
      <c r="M478" s="1">
        <v>48</v>
      </c>
      <c r="N478" s="1" t="s">
        <v>57</v>
      </c>
      <c r="R478" t="str">
        <f t="shared" si="32"/>
        <v>TIME 13:26 Tue</v>
      </c>
    </row>
    <row r="479" spans="1:18" hidden="1" x14ac:dyDescent="0.25">
      <c r="A479" s="3">
        <f t="shared" si="29"/>
        <v>44761.563653784724</v>
      </c>
      <c r="B479" s="8" t="str">
        <f t="shared" si="30"/>
        <v>←</v>
      </c>
      <c r="C479" s="11">
        <f t="shared" si="31"/>
        <v>0.106</v>
      </c>
      <c r="D479" s="2">
        <v>1658201499687</v>
      </c>
      <c r="E479" t="s">
        <v>0</v>
      </c>
      <c r="F479" s="1">
        <v>5</v>
      </c>
      <c r="G479" s="1">
        <v>31</v>
      </c>
      <c r="H479" s="1">
        <v>21</v>
      </c>
      <c r="I479" s="1" t="s">
        <v>6</v>
      </c>
      <c r="J479" s="1">
        <v>3</v>
      </c>
      <c r="K479" s="1" t="s">
        <v>7</v>
      </c>
      <c r="R479" t="str">
        <f t="shared" si="32"/>
        <v>Ack</v>
      </c>
    </row>
    <row r="480" spans="1:18" hidden="1" x14ac:dyDescent="0.25">
      <c r="A480" s="3">
        <f t="shared" si="29"/>
        <v>44761.563654884252</v>
      </c>
      <c r="B480" s="8" t="str">
        <f t="shared" si="30"/>
        <v>→</v>
      </c>
      <c r="C480" s="11">
        <f t="shared" si="31"/>
        <v>9.5000000000000001E-2</v>
      </c>
      <c r="D480" s="2">
        <v>1658201499782</v>
      </c>
      <c r="E480" t="s">
        <v>0</v>
      </c>
      <c r="F480" s="1">
        <v>5</v>
      </c>
      <c r="G480" s="1">
        <v>21</v>
      </c>
      <c r="H480" s="1">
        <v>31</v>
      </c>
      <c r="I480" s="1">
        <v>9</v>
      </c>
      <c r="J480" s="1">
        <v>60</v>
      </c>
      <c r="K480" s="1" t="s">
        <v>11</v>
      </c>
      <c r="R480" t="str">
        <f t="shared" si="32"/>
        <v>PING FURNACE</v>
      </c>
    </row>
    <row r="481" spans="1:18" hidden="1" x14ac:dyDescent="0.25">
      <c r="A481" s="3">
        <f t="shared" si="29"/>
        <v>44761.563656064813</v>
      </c>
      <c r="B481" s="8" t="str">
        <f t="shared" si="30"/>
        <v>←</v>
      </c>
      <c r="C481" s="11">
        <f t="shared" si="31"/>
        <v>0.10199999999999999</v>
      </c>
      <c r="D481" s="2">
        <v>1658201499884</v>
      </c>
      <c r="E481" t="s">
        <v>0</v>
      </c>
      <c r="F481" s="1">
        <v>5</v>
      </c>
      <c r="G481" s="1">
        <v>31</v>
      </c>
      <c r="H481" s="1">
        <v>21</v>
      </c>
      <c r="I481" s="1" t="s">
        <v>6</v>
      </c>
      <c r="J481" s="1">
        <v>3</v>
      </c>
      <c r="K481" s="1" t="s">
        <v>7</v>
      </c>
      <c r="R481" t="str">
        <f t="shared" si="32"/>
        <v>Ack</v>
      </c>
    </row>
    <row r="482" spans="1:18" hidden="1" x14ac:dyDescent="0.25">
      <c r="A482" s="3">
        <f t="shared" ref="A482:A545" si="33">D482/(1000*60*60*24)+25569+10/24</f>
        <v>44761.563657766201</v>
      </c>
      <c r="B482" s="8" t="str">
        <f t="shared" ref="B482:B545" si="34">IF(AND(G482=21,H482=31),"→",IF(AND(G482=31,H482=21),"←","Error"))</f>
        <v>→</v>
      </c>
      <c r="C482" s="11">
        <f t="shared" ref="C482:C545" si="35">(D482-D481)/1000</f>
        <v>0.14699999999999999</v>
      </c>
      <c r="D482" s="2">
        <v>1658201500031</v>
      </c>
      <c r="E482" t="s">
        <v>0</v>
      </c>
      <c r="F482" s="1" t="s">
        <v>3</v>
      </c>
      <c r="G482" s="1">
        <v>21</v>
      </c>
      <c r="H482" s="1">
        <v>31</v>
      </c>
      <c r="I482" s="1" t="s">
        <v>3</v>
      </c>
      <c r="J482" s="1">
        <v>0</v>
      </c>
      <c r="K482" s="1">
        <v>12</v>
      </c>
      <c r="L482" s="1">
        <v>25</v>
      </c>
      <c r="M482" s="1">
        <v>1</v>
      </c>
      <c r="N482" s="1" t="s">
        <v>65</v>
      </c>
      <c r="O482" s="1">
        <v>0</v>
      </c>
      <c r="P482" s="1" t="s">
        <v>114</v>
      </c>
      <c r="Q482" s="1">
        <v>88</v>
      </c>
      <c r="R482" t="str">
        <f t="shared" si="32"/>
        <v>TEMPERATURE INFO Set:18 Actual:18.5 Countdown:140</v>
      </c>
    </row>
    <row r="483" spans="1:18" hidden="1" x14ac:dyDescent="0.25">
      <c r="A483" s="3">
        <f t="shared" si="33"/>
        <v>44761.563659016203</v>
      </c>
      <c r="B483" s="8" t="str">
        <f t="shared" si="34"/>
        <v>←</v>
      </c>
      <c r="C483" s="11">
        <f t="shared" si="35"/>
        <v>0.108</v>
      </c>
      <c r="D483" s="2">
        <v>1658201500139</v>
      </c>
      <c r="E483" t="s">
        <v>0</v>
      </c>
      <c r="F483" s="1">
        <v>5</v>
      </c>
      <c r="G483" s="1">
        <v>31</v>
      </c>
      <c r="H483" s="1">
        <v>21</v>
      </c>
      <c r="I483" s="1" t="s">
        <v>6</v>
      </c>
      <c r="J483" s="1">
        <v>3</v>
      </c>
      <c r="K483" s="1" t="s">
        <v>7</v>
      </c>
      <c r="R483" t="str">
        <f t="shared" si="32"/>
        <v>Ack</v>
      </c>
    </row>
    <row r="484" spans="1:18" x14ac:dyDescent="0.25">
      <c r="A484" s="3">
        <f t="shared" si="33"/>
        <v>44761.563660196756</v>
      </c>
      <c r="B484" s="8" t="str">
        <f t="shared" si="34"/>
        <v>→</v>
      </c>
      <c r="C484" s="11">
        <f t="shared" si="35"/>
        <v>0.10199999999999999</v>
      </c>
      <c r="D484" s="2">
        <v>1658201500241</v>
      </c>
      <c r="E484" t="s">
        <v>0</v>
      </c>
      <c r="F484" s="1">
        <v>6</v>
      </c>
      <c r="G484" s="1">
        <v>21</v>
      </c>
      <c r="H484" s="1">
        <v>31</v>
      </c>
      <c r="I484" s="1">
        <v>29</v>
      </c>
      <c r="J484" s="1">
        <v>0</v>
      </c>
      <c r="K484" s="1" t="s">
        <v>13</v>
      </c>
      <c r="L484" s="1" t="s">
        <v>14</v>
      </c>
      <c r="R484" t="str">
        <f t="shared" si="32"/>
        <v>LONG PING FURNACE</v>
      </c>
    </row>
    <row r="485" spans="1:18" hidden="1" x14ac:dyDescent="0.25">
      <c r="A485" s="3">
        <f t="shared" si="33"/>
        <v>44761.563661377317</v>
      </c>
      <c r="B485" s="8" t="str">
        <f t="shared" si="34"/>
        <v>←</v>
      </c>
      <c r="C485" s="11">
        <f t="shared" si="35"/>
        <v>0.10199999999999999</v>
      </c>
      <c r="D485" s="2">
        <v>1658201500343</v>
      </c>
      <c r="E485" t="s">
        <v>0</v>
      </c>
      <c r="F485" s="1">
        <v>5</v>
      </c>
      <c r="G485" s="1">
        <v>31</v>
      </c>
      <c r="H485" s="1">
        <v>21</v>
      </c>
      <c r="I485" s="1" t="s">
        <v>6</v>
      </c>
      <c r="J485" s="1">
        <v>3</v>
      </c>
      <c r="K485" s="1" t="s">
        <v>7</v>
      </c>
      <c r="R485" t="str">
        <f t="shared" si="32"/>
        <v>Ack</v>
      </c>
    </row>
    <row r="486" spans="1:18" hidden="1" x14ac:dyDescent="0.25">
      <c r="A486" s="3">
        <f t="shared" si="33"/>
        <v>44761.56366260416</v>
      </c>
      <c r="B486" s="8" t="str">
        <f t="shared" si="34"/>
        <v>→</v>
      </c>
      <c r="C486" s="11">
        <f t="shared" si="35"/>
        <v>0.106</v>
      </c>
      <c r="D486" s="2">
        <v>1658201500449</v>
      </c>
      <c r="E486" t="s">
        <v>0</v>
      </c>
      <c r="F486" s="1">
        <v>5</v>
      </c>
      <c r="G486" s="1">
        <v>21</v>
      </c>
      <c r="H486" s="1">
        <v>31</v>
      </c>
      <c r="I486" s="1">
        <v>6</v>
      </c>
      <c r="J486" s="1">
        <v>60</v>
      </c>
      <c r="K486" s="1">
        <v>83</v>
      </c>
      <c r="R486" t="str">
        <f t="shared" si="32"/>
        <v>FURNACE STATUS REQUEST</v>
      </c>
    </row>
    <row r="487" spans="1:18" hidden="1" x14ac:dyDescent="0.25">
      <c r="A487" s="3">
        <f t="shared" si="33"/>
        <v>44761.563664340276</v>
      </c>
      <c r="B487" s="8" t="str">
        <f t="shared" si="34"/>
        <v>←</v>
      </c>
      <c r="C487" s="11">
        <f t="shared" si="35"/>
        <v>0.15</v>
      </c>
      <c r="D487" s="2">
        <v>1658201500599</v>
      </c>
      <c r="E487" t="s">
        <v>0</v>
      </c>
      <c r="F487" s="1">
        <v>9</v>
      </c>
      <c r="G487" s="1">
        <v>31</v>
      </c>
      <c r="H487" s="1">
        <v>21</v>
      </c>
      <c r="I487" s="1" t="s">
        <v>1</v>
      </c>
      <c r="J487" s="1">
        <v>0</v>
      </c>
      <c r="K487" s="1">
        <v>23</v>
      </c>
      <c r="L487" s="1">
        <v>0</v>
      </c>
      <c r="M487" s="1">
        <v>0</v>
      </c>
      <c r="N487" s="1">
        <v>71</v>
      </c>
      <c r="O487" s="1">
        <v>73</v>
      </c>
      <c r="R487" t="str">
        <f t="shared" si="32"/>
        <v>FURNACE STATUS RESPONSE Fan:1 Ignition:1 Burner:0 Unknown:20</v>
      </c>
    </row>
    <row r="488" spans="1:18" hidden="1" x14ac:dyDescent="0.25">
      <c r="A488" s="3">
        <f t="shared" si="33"/>
        <v>44761.56383368055</v>
      </c>
      <c r="B488" s="8" t="str">
        <f t="shared" si="34"/>
        <v>←</v>
      </c>
      <c r="C488" s="11">
        <f t="shared" si="35"/>
        <v>14.631</v>
      </c>
      <c r="D488" s="2">
        <v>1658201515230</v>
      </c>
      <c r="E488" t="s">
        <v>0</v>
      </c>
      <c r="F488" s="1">
        <v>9</v>
      </c>
      <c r="G488" s="1">
        <v>31</v>
      </c>
      <c r="H488" s="1">
        <v>21</v>
      </c>
      <c r="I488" s="1">
        <v>5</v>
      </c>
      <c r="J488" s="1">
        <v>0</v>
      </c>
      <c r="K488" s="1">
        <v>1</v>
      </c>
      <c r="L488" s="1">
        <v>0</v>
      </c>
      <c r="M488" s="1">
        <v>0</v>
      </c>
      <c r="N488" s="1" t="s">
        <v>15</v>
      </c>
      <c r="O488" s="1">
        <v>88</v>
      </c>
      <c r="R488" t="str">
        <f t="shared" si="32"/>
        <v>FURNACE STATUS REPORT Fan:1 Ignition:0 Burner:0 Unknown:0</v>
      </c>
    </row>
    <row r="489" spans="1:18" hidden="1" x14ac:dyDescent="0.25">
      <c r="A489" s="3">
        <f t="shared" si="33"/>
        <v>44761.563834710651</v>
      </c>
      <c r="B489" s="8" t="str">
        <f t="shared" si="34"/>
        <v>→</v>
      </c>
      <c r="C489" s="11">
        <f t="shared" si="35"/>
        <v>8.8999999999999996E-2</v>
      </c>
      <c r="D489" s="2">
        <v>1658201515319</v>
      </c>
      <c r="E489" t="s">
        <v>0</v>
      </c>
      <c r="F489" s="1">
        <v>5</v>
      </c>
      <c r="G489" s="1">
        <v>21</v>
      </c>
      <c r="H489" s="1">
        <v>31</v>
      </c>
      <c r="I489" s="1" t="s">
        <v>6</v>
      </c>
      <c r="J489" s="1">
        <v>62</v>
      </c>
      <c r="K489" s="1">
        <v>95</v>
      </c>
      <c r="R489" t="str">
        <f t="shared" si="32"/>
        <v>Ack</v>
      </c>
    </row>
    <row r="490" spans="1:18" hidden="1" x14ac:dyDescent="0.25">
      <c r="A490" s="3">
        <f t="shared" si="33"/>
        <v>44761.564103078701</v>
      </c>
      <c r="B490" s="8" t="str">
        <f t="shared" si="34"/>
        <v>←</v>
      </c>
      <c r="C490" s="11">
        <f t="shared" si="35"/>
        <v>23.187000000000001</v>
      </c>
      <c r="D490" s="2">
        <v>1658201538506</v>
      </c>
      <c r="E490" t="s">
        <v>0</v>
      </c>
      <c r="F490" s="1">
        <v>9</v>
      </c>
      <c r="G490" s="1">
        <v>31</v>
      </c>
      <c r="H490" s="1">
        <v>21</v>
      </c>
      <c r="I490" s="1">
        <v>5</v>
      </c>
      <c r="J490" s="1">
        <v>0</v>
      </c>
      <c r="K490" s="1">
        <v>0</v>
      </c>
      <c r="L490" s="1">
        <v>0</v>
      </c>
      <c r="M490" s="1">
        <v>0</v>
      </c>
      <c r="N490" s="1" t="s">
        <v>19</v>
      </c>
      <c r="O490" s="1" t="s">
        <v>20</v>
      </c>
      <c r="R490" t="str">
        <f t="shared" si="32"/>
        <v>FURNACE STATUS REPORT Fan:0 Ignition:0 Burner:0 Unknown:0</v>
      </c>
    </row>
    <row r="491" spans="1:18" hidden="1" x14ac:dyDescent="0.25">
      <c r="A491" s="3">
        <f t="shared" si="33"/>
        <v>44761.564104074067</v>
      </c>
      <c r="B491" s="8" t="str">
        <f t="shared" si="34"/>
        <v>→</v>
      </c>
      <c r="C491" s="11">
        <f t="shared" si="35"/>
        <v>8.5999999999999993E-2</v>
      </c>
      <c r="D491" s="2">
        <v>1658201538592</v>
      </c>
      <c r="E491" t="s">
        <v>0</v>
      </c>
      <c r="F491" s="1">
        <v>5</v>
      </c>
      <c r="G491" s="1">
        <v>21</v>
      </c>
      <c r="H491" s="1">
        <v>31</v>
      </c>
      <c r="I491" s="1" t="s">
        <v>6</v>
      </c>
      <c r="J491" s="1">
        <v>62</v>
      </c>
      <c r="K491" s="1">
        <v>95</v>
      </c>
      <c r="R491" t="str">
        <f t="shared" si="32"/>
        <v>Ack</v>
      </c>
    </row>
    <row r="492" spans="1:18" hidden="1" x14ac:dyDescent="0.25">
      <c r="A492" s="3">
        <f t="shared" si="33"/>
        <v>44761.56435043981</v>
      </c>
      <c r="B492" s="8" t="str">
        <f t="shared" si="34"/>
        <v>→</v>
      </c>
      <c r="C492" s="11">
        <f t="shared" si="35"/>
        <v>21.286000000000001</v>
      </c>
      <c r="D492" s="2">
        <v>1658201559878</v>
      </c>
      <c r="E492" t="s">
        <v>0</v>
      </c>
      <c r="F492" s="1">
        <v>8</v>
      </c>
      <c r="G492" s="1">
        <v>21</v>
      </c>
      <c r="H492" s="1">
        <v>31</v>
      </c>
      <c r="I492" s="1">
        <v>7</v>
      </c>
      <c r="J492" s="1" t="s">
        <v>70</v>
      </c>
      <c r="K492" s="1" t="s">
        <v>28</v>
      </c>
      <c r="L492" s="1">
        <v>1</v>
      </c>
      <c r="M492" s="1" t="s">
        <v>29</v>
      </c>
      <c r="N492" s="1" t="s">
        <v>109</v>
      </c>
      <c r="R492" t="str">
        <f t="shared" si="32"/>
        <v>TIME 13:27 Tue</v>
      </c>
    </row>
    <row r="493" spans="1:18" hidden="1" x14ac:dyDescent="0.25">
      <c r="A493" s="3">
        <f t="shared" si="33"/>
        <v>44761.564350520835</v>
      </c>
      <c r="B493" s="8" t="str">
        <f t="shared" si="34"/>
        <v>←</v>
      </c>
      <c r="C493" s="11">
        <f t="shared" si="35"/>
        <v>7.0000000000000001E-3</v>
      </c>
      <c r="D493" s="2">
        <v>1658201559885</v>
      </c>
      <c r="E493" t="s">
        <v>0</v>
      </c>
      <c r="F493" s="1">
        <v>5</v>
      </c>
      <c r="G493" s="1">
        <v>31</v>
      </c>
      <c r="H493" s="1">
        <v>21</v>
      </c>
      <c r="I493" s="1" t="s">
        <v>6</v>
      </c>
      <c r="J493" s="1">
        <v>3</v>
      </c>
      <c r="K493" s="1" t="s">
        <v>7</v>
      </c>
      <c r="R493" t="str">
        <f t="shared" si="32"/>
        <v>Ack</v>
      </c>
    </row>
    <row r="494" spans="1:18" hidden="1" x14ac:dyDescent="0.25">
      <c r="A494" s="3">
        <f t="shared" si="33"/>
        <v>44761.564350601846</v>
      </c>
      <c r="B494" s="8" t="str">
        <f t="shared" si="34"/>
        <v>→</v>
      </c>
      <c r="C494" s="11">
        <f t="shared" si="35"/>
        <v>7.0000000000000001E-3</v>
      </c>
      <c r="D494" s="2">
        <v>1658201559892</v>
      </c>
      <c r="E494" t="s">
        <v>0</v>
      </c>
      <c r="F494" s="1">
        <v>5</v>
      </c>
      <c r="G494" s="1">
        <v>21</v>
      </c>
      <c r="H494" s="1">
        <v>31</v>
      </c>
      <c r="I494" s="1">
        <v>9</v>
      </c>
      <c r="J494" s="1">
        <v>60</v>
      </c>
      <c r="K494" s="1" t="s">
        <v>11</v>
      </c>
      <c r="R494" t="str">
        <f t="shared" si="32"/>
        <v>PING FURNACE</v>
      </c>
    </row>
    <row r="495" spans="1:18" hidden="1" x14ac:dyDescent="0.25">
      <c r="A495" s="3">
        <f t="shared" si="33"/>
        <v>44761.564351053239</v>
      </c>
      <c r="B495" s="8" t="str">
        <f t="shared" si="34"/>
        <v>←</v>
      </c>
      <c r="C495" s="11">
        <f t="shared" si="35"/>
        <v>3.9E-2</v>
      </c>
      <c r="D495" s="2">
        <v>1658201559931</v>
      </c>
      <c r="E495" t="s">
        <v>0</v>
      </c>
      <c r="F495" s="1">
        <v>5</v>
      </c>
      <c r="G495" s="1">
        <v>31</v>
      </c>
      <c r="H495" s="1">
        <v>21</v>
      </c>
      <c r="I495" s="1" t="s">
        <v>6</v>
      </c>
      <c r="J495" s="1">
        <v>3</v>
      </c>
      <c r="K495" s="1" t="s">
        <v>7</v>
      </c>
      <c r="R495" t="str">
        <f t="shared" si="32"/>
        <v>Ack</v>
      </c>
    </row>
    <row r="496" spans="1:18" hidden="1" x14ac:dyDescent="0.25">
      <c r="A496" s="3">
        <f t="shared" si="33"/>
        <v>44761.564352777779</v>
      </c>
      <c r="B496" s="8" t="str">
        <f t="shared" si="34"/>
        <v>→</v>
      </c>
      <c r="C496" s="11">
        <f t="shared" si="35"/>
        <v>0.14899999999999999</v>
      </c>
      <c r="D496" s="2">
        <v>1658201560080</v>
      </c>
      <c r="E496" t="s">
        <v>0</v>
      </c>
      <c r="F496" s="1" t="s">
        <v>3</v>
      </c>
      <c r="G496" s="1">
        <v>21</v>
      </c>
      <c r="H496" s="1">
        <v>31</v>
      </c>
      <c r="I496" s="1" t="s">
        <v>3</v>
      </c>
      <c r="J496" s="1">
        <v>0</v>
      </c>
      <c r="K496" s="1">
        <v>12</v>
      </c>
      <c r="L496" s="1">
        <v>25</v>
      </c>
      <c r="M496" s="1">
        <v>1</v>
      </c>
      <c r="N496" s="1">
        <v>50</v>
      </c>
      <c r="O496" s="1">
        <v>0</v>
      </c>
      <c r="P496" s="1">
        <v>52</v>
      </c>
      <c r="Q496" s="1">
        <v>84</v>
      </c>
      <c r="R496" t="str">
        <f t="shared" si="32"/>
        <v>TEMPERATURE INFO Set:18 Actual:18.5 Countdown:80</v>
      </c>
    </row>
    <row r="497" spans="1:18" hidden="1" x14ac:dyDescent="0.25">
      <c r="A497" s="3">
        <f t="shared" si="33"/>
        <v>44761.564354351845</v>
      </c>
      <c r="B497" s="8" t="str">
        <f t="shared" si="34"/>
        <v>←</v>
      </c>
      <c r="C497" s="11">
        <f t="shared" si="35"/>
        <v>0.13600000000000001</v>
      </c>
      <c r="D497" s="2">
        <v>1658201560216</v>
      </c>
      <c r="E497" t="s">
        <v>0</v>
      </c>
      <c r="F497" s="1">
        <v>5</v>
      </c>
      <c r="G497" s="1">
        <v>31</v>
      </c>
      <c r="H497" s="1">
        <v>21</v>
      </c>
      <c r="I497" s="1" t="s">
        <v>6</v>
      </c>
      <c r="J497" s="1">
        <v>3</v>
      </c>
      <c r="K497" s="1" t="s">
        <v>7</v>
      </c>
      <c r="R497" t="str">
        <f t="shared" si="32"/>
        <v>Ack</v>
      </c>
    </row>
    <row r="498" spans="1:18" x14ac:dyDescent="0.25">
      <c r="A498" s="3">
        <f t="shared" si="33"/>
        <v>44761.564355624992</v>
      </c>
      <c r="B498" s="8" t="str">
        <f t="shared" si="34"/>
        <v>→</v>
      </c>
      <c r="C498" s="11">
        <f t="shared" si="35"/>
        <v>0.11</v>
      </c>
      <c r="D498" s="2">
        <v>1658201560326</v>
      </c>
      <c r="E498" t="s">
        <v>0</v>
      </c>
      <c r="F498" s="1">
        <v>6</v>
      </c>
      <c r="G498" s="1">
        <v>21</v>
      </c>
      <c r="H498" s="1">
        <v>31</v>
      </c>
      <c r="I498" s="1">
        <v>29</v>
      </c>
      <c r="J498" s="1">
        <v>0</v>
      </c>
      <c r="K498" s="1" t="s">
        <v>13</v>
      </c>
      <c r="L498" s="1" t="s">
        <v>14</v>
      </c>
      <c r="R498" t="str">
        <f t="shared" si="32"/>
        <v>LONG PING FURNACE</v>
      </c>
    </row>
    <row r="499" spans="1:18" hidden="1" x14ac:dyDescent="0.25">
      <c r="A499" s="3">
        <f t="shared" si="33"/>
        <v>44761.564356782408</v>
      </c>
      <c r="B499" s="8" t="str">
        <f t="shared" si="34"/>
        <v>←</v>
      </c>
      <c r="C499" s="11">
        <f t="shared" si="35"/>
        <v>0.1</v>
      </c>
      <c r="D499" s="2">
        <v>1658201560426</v>
      </c>
      <c r="E499" t="s">
        <v>0</v>
      </c>
      <c r="F499" s="1">
        <v>5</v>
      </c>
      <c r="G499" s="1">
        <v>31</v>
      </c>
      <c r="H499" s="1">
        <v>21</v>
      </c>
      <c r="I499" s="1" t="s">
        <v>6</v>
      </c>
      <c r="J499" s="1">
        <v>3</v>
      </c>
      <c r="K499" s="1" t="s">
        <v>7</v>
      </c>
      <c r="R499" t="str">
        <f t="shared" si="32"/>
        <v>Ack</v>
      </c>
    </row>
    <row r="500" spans="1:18" hidden="1" x14ac:dyDescent="0.25">
      <c r="A500" s="3">
        <f t="shared" si="33"/>
        <v>44761.564357905088</v>
      </c>
      <c r="B500" s="8" t="str">
        <f t="shared" si="34"/>
        <v>→</v>
      </c>
      <c r="C500" s="11">
        <f t="shared" si="35"/>
        <v>9.7000000000000003E-2</v>
      </c>
      <c r="D500" s="2">
        <v>1658201560523</v>
      </c>
      <c r="E500" t="s">
        <v>0</v>
      </c>
      <c r="F500" s="1">
        <v>5</v>
      </c>
      <c r="G500" s="1">
        <v>21</v>
      </c>
      <c r="H500" s="1">
        <v>31</v>
      </c>
      <c r="I500" s="1">
        <v>6</v>
      </c>
      <c r="J500" s="1">
        <v>60</v>
      </c>
      <c r="K500" s="1">
        <v>83</v>
      </c>
      <c r="R500" t="str">
        <f t="shared" si="32"/>
        <v>FURNACE STATUS REQUEST</v>
      </c>
    </row>
    <row r="501" spans="1:18" hidden="1" x14ac:dyDescent="0.25">
      <c r="A501" s="3">
        <f t="shared" si="33"/>
        <v>44761.564359618053</v>
      </c>
      <c r="B501" s="8" t="str">
        <f t="shared" si="34"/>
        <v>←</v>
      </c>
      <c r="C501" s="11">
        <f t="shared" si="35"/>
        <v>0.14799999999999999</v>
      </c>
      <c r="D501" s="2">
        <v>1658201560671</v>
      </c>
      <c r="E501" t="s">
        <v>0</v>
      </c>
      <c r="F501" s="1">
        <v>9</v>
      </c>
      <c r="G501" s="1">
        <v>31</v>
      </c>
      <c r="H501" s="1">
        <v>21</v>
      </c>
      <c r="I501" s="1" t="s">
        <v>1</v>
      </c>
      <c r="J501" s="1">
        <v>0</v>
      </c>
      <c r="K501" s="1">
        <v>0</v>
      </c>
      <c r="L501" s="1">
        <v>0</v>
      </c>
      <c r="M501" s="1">
        <v>0</v>
      </c>
      <c r="N501" s="1" t="s">
        <v>21</v>
      </c>
      <c r="O501" s="1" t="s">
        <v>22</v>
      </c>
      <c r="R501" t="str">
        <f t="shared" si="32"/>
        <v>FURNACE STATUS RESPONSE Fan:0 Ignition:0 Burner:0 Unknown:0</v>
      </c>
    </row>
    <row r="502" spans="1:18" hidden="1" x14ac:dyDescent="0.25">
      <c r="A502" s="3">
        <f t="shared" si="33"/>
        <v>44761.565041412039</v>
      </c>
      <c r="B502" s="8" t="str">
        <f t="shared" si="34"/>
        <v>→</v>
      </c>
      <c r="C502" s="11">
        <f t="shared" si="35"/>
        <v>58.906999999999996</v>
      </c>
      <c r="D502" s="2">
        <v>1658201619578</v>
      </c>
      <c r="E502" t="s">
        <v>0</v>
      </c>
      <c r="F502" s="1">
        <v>8</v>
      </c>
      <c r="G502" s="1">
        <v>21</v>
      </c>
      <c r="H502" s="1">
        <v>31</v>
      </c>
      <c r="I502" s="1">
        <v>7</v>
      </c>
      <c r="J502" s="1" t="s">
        <v>70</v>
      </c>
      <c r="K502" s="1" t="s">
        <v>30</v>
      </c>
      <c r="L502" s="1">
        <v>1</v>
      </c>
      <c r="M502" s="1" t="s">
        <v>31</v>
      </c>
      <c r="N502" s="1" t="s">
        <v>57</v>
      </c>
      <c r="R502" t="str">
        <f t="shared" si="32"/>
        <v>TIME 13:28 Tue</v>
      </c>
    </row>
    <row r="503" spans="1:18" hidden="1" x14ac:dyDescent="0.25">
      <c r="A503" s="3">
        <f t="shared" si="33"/>
        <v>44761.56504277778</v>
      </c>
      <c r="B503" s="8" t="str">
        <f t="shared" si="34"/>
        <v>←</v>
      </c>
      <c r="C503" s="11">
        <f t="shared" si="35"/>
        <v>0.11799999999999999</v>
      </c>
      <c r="D503" s="2">
        <v>1658201619696</v>
      </c>
      <c r="E503" t="s">
        <v>0</v>
      </c>
      <c r="F503" s="1">
        <v>5</v>
      </c>
      <c r="G503" s="1">
        <v>31</v>
      </c>
      <c r="H503" s="1">
        <v>21</v>
      </c>
      <c r="I503" s="1" t="s">
        <v>6</v>
      </c>
      <c r="J503" s="1">
        <v>3</v>
      </c>
      <c r="K503" s="1" t="s">
        <v>7</v>
      </c>
      <c r="R503" t="str">
        <f t="shared" si="32"/>
        <v>Ack</v>
      </c>
    </row>
    <row r="504" spans="1:18" hidden="1" x14ac:dyDescent="0.25">
      <c r="A504" s="3">
        <f t="shared" si="33"/>
        <v>44761.565043993054</v>
      </c>
      <c r="B504" s="8" t="str">
        <f t="shared" si="34"/>
        <v>→</v>
      </c>
      <c r="C504" s="11">
        <f t="shared" si="35"/>
        <v>0.105</v>
      </c>
      <c r="D504" s="2">
        <v>1658201619801</v>
      </c>
      <c r="E504" t="s">
        <v>0</v>
      </c>
      <c r="F504" s="1">
        <v>5</v>
      </c>
      <c r="G504" s="1">
        <v>21</v>
      </c>
      <c r="H504" s="1">
        <v>31</v>
      </c>
      <c r="I504" s="1">
        <v>9</v>
      </c>
      <c r="J504" s="1">
        <v>60</v>
      </c>
      <c r="K504" s="1" t="s">
        <v>11</v>
      </c>
      <c r="R504" t="str">
        <f t="shared" si="32"/>
        <v>PING FURNACE</v>
      </c>
    </row>
    <row r="505" spans="1:18" hidden="1" x14ac:dyDescent="0.25">
      <c r="A505" s="3">
        <f t="shared" si="33"/>
        <v>44761.565045185183</v>
      </c>
      <c r="B505" s="8" t="str">
        <f t="shared" si="34"/>
        <v>←</v>
      </c>
      <c r="C505" s="11">
        <f t="shared" si="35"/>
        <v>0.10299999999999999</v>
      </c>
      <c r="D505" s="2">
        <v>1658201619904</v>
      </c>
      <c r="E505" t="s">
        <v>0</v>
      </c>
      <c r="F505" s="1">
        <v>5</v>
      </c>
      <c r="G505" s="1">
        <v>31</v>
      </c>
      <c r="H505" s="1">
        <v>21</v>
      </c>
      <c r="I505" s="1" t="s">
        <v>6</v>
      </c>
      <c r="J505" s="1">
        <v>3</v>
      </c>
      <c r="K505" s="1" t="s">
        <v>7</v>
      </c>
      <c r="R505" t="str">
        <f t="shared" si="32"/>
        <v>Ack</v>
      </c>
    </row>
    <row r="506" spans="1:18" hidden="1" x14ac:dyDescent="0.25">
      <c r="A506" s="3">
        <f t="shared" si="33"/>
        <v>44761.565046944444</v>
      </c>
      <c r="B506" s="8" t="str">
        <f t="shared" si="34"/>
        <v>→</v>
      </c>
      <c r="C506" s="11">
        <f t="shared" si="35"/>
        <v>0.152</v>
      </c>
      <c r="D506" s="2">
        <v>1658201620056</v>
      </c>
      <c r="E506" t="s">
        <v>0</v>
      </c>
      <c r="F506" s="1" t="s">
        <v>3</v>
      </c>
      <c r="G506" s="1">
        <v>21</v>
      </c>
      <c r="H506" s="1">
        <v>31</v>
      </c>
      <c r="I506" s="1" t="s">
        <v>3</v>
      </c>
      <c r="J506" s="1">
        <v>0</v>
      </c>
      <c r="K506" s="1">
        <v>12</v>
      </c>
      <c r="L506" s="1">
        <v>25</v>
      </c>
      <c r="M506" s="1">
        <v>1</v>
      </c>
      <c r="N506" s="1">
        <v>14</v>
      </c>
      <c r="O506" s="1">
        <v>0</v>
      </c>
      <c r="P506" s="1" t="s">
        <v>94</v>
      </c>
      <c r="Q506" s="1">
        <v>81</v>
      </c>
      <c r="R506" t="str">
        <f t="shared" si="32"/>
        <v>TEMPERATURE INFO Set:18 Actual:18.5 Countdown:20</v>
      </c>
    </row>
    <row r="507" spans="1:18" hidden="1" x14ac:dyDescent="0.25">
      <c r="A507" s="3">
        <f t="shared" si="33"/>
        <v>44761.565048460645</v>
      </c>
      <c r="B507" s="8" t="str">
        <f t="shared" si="34"/>
        <v>←</v>
      </c>
      <c r="C507" s="11">
        <f t="shared" si="35"/>
        <v>0.13100000000000001</v>
      </c>
      <c r="D507" s="2">
        <v>1658201620187</v>
      </c>
      <c r="E507" t="s">
        <v>0</v>
      </c>
      <c r="F507" s="1">
        <v>5</v>
      </c>
      <c r="G507" s="1">
        <v>31</v>
      </c>
      <c r="H507" s="1">
        <v>21</v>
      </c>
      <c r="I507" s="1" t="s">
        <v>6</v>
      </c>
      <c r="J507" s="1">
        <v>3</v>
      </c>
      <c r="K507" s="1" t="s">
        <v>7</v>
      </c>
      <c r="R507" t="str">
        <f t="shared" si="32"/>
        <v>Ack</v>
      </c>
    </row>
    <row r="508" spans="1:18" x14ac:dyDescent="0.25">
      <c r="A508" s="3">
        <f t="shared" si="33"/>
        <v>44761.565049652774</v>
      </c>
      <c r="B508" s="8" t="str">
        <f t="shared" si="34"/>
        <v>→</v>
      </c>
      <c r="C508" s="11">
        <f t="shared" si="35"/>
        <v>0.10299999999999999</v>
      </c>
      <c r="D508" s="2">
        <v>1658201620290</v>
      </c>
      <c r="E508" t="s">
        <v>0</v>
      </c>
      <c r="F508" s="1">
        <v>6</v>
      </c>
      <c r="G508" s="1">
        <v>21</v>
      </c>
      <c r="H508" s="1">
        <v>31</v>
      </c>
      <c r="I508" s="1">
        <v>29</v>
      </c>
      <c r="J508" s="1">
        <v>0</v>
      </c>
      <c r="K508" s="1" t="s">
        <v>13</v>
      </c>
      <c r="L508" s="1" t="s">
        <v>14</v>
      </c>
      <c r="R508" t="str">
        <f t="shared" si="32"/>
        <v>LONG PING FURNACE</v>
      </c>
    </row>
    <row r="509" spans="1:18" hidden="1" x14ac:dyDescent="0.25">
      <c r="A509" s="3">
        <f t="shared" si="33"/>
        <v>44761.565050798607</v>
      </c>
      <c r="B509" s="8" t="str">
        <f t="shared" si="34"/>
        <v>←</v>
      </c>
      <c r="C509" s="11">
        <f t="shared" si="35"/>
        <v>9.9000000000000005E-2</v>
      </c>
      <c r="D509" s="2">
        <v>1658201620389</v>
      </c>
      <c r="E509" t="s">
        <v>0</v>
      </c>
      <c r="F509" s="1">
        <v>5</v>
      </c>
      <c r="G509" s="1">
        <v>31</v>
      </c>
      <c r="H509" s="1">
        <v>21</v>
      </c>
      <c r="I509" s="1" t="s">
        <v>6</v>
      </c>
      <c r="J509" s="1">
        <v>3</v>
      </c>
      <c r="K509" s="1" t="s">
        <v>7</v>
      </c>
      <c r="R509" t="str">
        <f t="shared" si="32"/>
        <v>Ack</v>
      </c>
    </row>
    <row r="510" spans="1:18" hidden="1" x14ac:dyDescent="0.25">
      <c r="A510" s="3">
        <f t="shared" si="33"/>
        <v>44761.565052025464</v>
      </c>
      <c r="B510" s="8" t="str">
        <f t="shared" si="34"/>
        <v>→</v>
      </c>
      <c r="C510" s="11">
        <f t="shared" si="35"/>
        <v>0.106</v>
      </c>
      <c r="D510" s="2">
        <v>1658201620495</v>
      </c>
      <c r="E510" t="s">
        <v>0</v>
      </c>
      <c r="F510" s="1">
        <v>5</v>
      </c>
      <c r="G510" s="1">
        <v>21</v>
      </c>
      <c r="H510" s="1">
        <v>31</v>
      </c>
      <c r="I510" s="1">
        <v>6</v>
      </c>
      <c r="J510" s="1">
        <v>60</v>
      </c>
      <c r="K510" s="1">
        <v>83</v>
      </c>
      <c r="R510" t="str">
        <f t="shared" si="32"/>
        <v>FURNACE STATUS REQUEST</v>
      </c>
    </row>
    <row r="511" spans="1:18" hidden="1" x14ac:dyDescent="0.25">
      <c r="A511" s="3">
        <f t="shared" si="33"/>
        <v>44761.565053981474</v>
      </c>
      <c r="B511" s="8" t="str">
        <f t="shared" si="34"/>
        <v>←</v>
      </c>
      <c r="C511" s="11">
        <f t="shared" si="35"/>
        <v>0.16900000000000001</v>
      </c>
      <c r="D511" s="2">
        <v>1658201620664</v>
      </c>
      <c r="E511" t="s">
        <v>0</v>
      </c>
      <c r="F511" s="1">
        <v>9</v>
      </c>
      <c r="G511" s="1">
        <v>31</v>
      </c>
      <c r="H511" s="1">
        <v>21</v>
      </c>
      <c r="I511" s="1" t="s">
        <v>1</v>
      </c>
      <c r="J511" s="1">
        <v>0</v>
      </c>
      <c r="K511" s="1">
        <v>0</v>
      </c>
      <c r="L511" s="1">
        <v>0</v>
      </c>
      <c r="M511" s="1">
        <v>0</v>
      </c>
      <c r="N511" s="1" t="s">
        <v>21</v>
      </c>
      <c r="O511" s="1" t="s">
        <v>22</v>
      </c>
      <c r="R511" t="str">
        <f t="shared" si="32"/>
        <v>FURNACE STATUS RESPONSE Fan:0 Ignition:0 Burner:0 Unknown:0</v>
      </c>
    </row>
    <row r="512" spans="1:18" hidden="1" x14ac:dyDescent="0.25">
      <c r="A512" s="3">
        <f t="shared" si="33"/>
        <v>44761.565735995369</v>
      </c>
      <c r="B512" s="8" t="str">
        <f t="shared" si="34"/>
        <v>→</v>
      </c>
      <c r="C512" s="11">
        <f t="shared" si="35"/>
        <v>58.926000000000002</v>
      </c>
      <c r="D512" s="2">
        <v>1658201679590</v>
      </c>
      <c r="E512" t="s">
        <v>0</v>
      </c>
      <c r="F512" s="1">
        <v>8</v>
      </c>
      <c r="G512" s="1">
        <v>21</v>
      </c>
      <c r="H512" s="1">
        <v>31</v>
      </c>
      <c r="I512" s="1">
        <v>7</v>
      </c>
      <c r="J512" s="1" t="s">
        <v>70</v>
      </c>
      <c r="K512" s="1" t="s">
        <v>32</v>
      </c>
      <c r="L512" s="1">
        <v>1</v>
      </c>
      <c r="M512" s="1" t="s">
        <v>33</v>
      </c>
      <c r="N512" s="1" t="s">
        <v>109</v>
      </c>
      <c r="R512" t="str">
        <f t="shared" si="32"/>
        <v>TIME 13:29 Tue</v>
      </c>
    </row>
    <row r="513" spans="1:18" hidden="1" x14ac:dyDescent="0.25">
      <c r="A513" s="3">
        <f t="shared" si="33"/>
        <v>44761.565737280085</v>
      </c>
      <c r="B513" s="8" t="str">
        <f t="shared" si="34"/>
        <v>←</v>
      </c>
      <c r="C513" s="11">
        <f t="shared" si="35"/>
        <v>0.111</v>
      </c>
      <c r="D513" s="2">
        <v>1658201679701</v>
      </c>
      <c r="E513" t="s">
        <v>0</v>
      </c>
      <c r="F513" s="1">
        <v>5</v>
      </c>
      <c r="G513" s="1">
        <v>31</v>
      </c>
      <c r="H513" s="1">
        <v>21</v>
      </c>
      <c r="I513" s="1" t="s">
        <v>6</v>
      </c>
      <c r="J513" s="1">
        <v>3</v>
      </c>
      <c r="K513" s="1" t="s">
        <v>7</v>
      </c>
      <c r="R513" t="str">
        <f t="shared" si="32"/>
        <v>Ack</v>
      </c>
    </row>
    <row r="514" spans="1:18" hidden="1" x14ac:dyDescent="0.25">
      <c r="A514" s="3">
        <f t="shared" si="33"/>
        <v>44761.565738506943</v>
      </c>
      <c r="B514" s="8" t="str">
        <f t="shared" si="34"/>
        <v>→</v>
      </c>
      <c r="C514" s="11">
        <f t="shared" si="35"/>
        <v>0.106</v>
      </c>
      <c r="D514" s="2">
        <v>1658201679807</v>
      </c>
      <c r="E514" t="s">
        <v>0</v>
      </c>
      <c r="F514" s="1">
        <v>5</v>
      </c>
      <c r="G514" s="1">
        <v>21</v>
      </c>
      <c r="H514" s="1">
        <v>31</v>
      </c>
      <c r="I514" s="1">
        <v>9</v>
      </c>
      <c r="J514" s="1">
        <v>60</v>
      </c>
      <c r="K514" s="1" t="s">
        <v>11</v>
      </c>
      <c r="R514" t="str">
        <f t="shared" si="32"/>
        <v>PING FURNACE</v>
      </c>
    </row>
    <row r="515" spans="1:18" hidden="1" x14ac:dyDescent="0.25">
      <c r="A515" s="3">
        <f t="shared" si="33"/>
        <v>44761.565739699072</v>
      </c>
      <c r="B515" s="8" t="str">
        <f t="shared" si="34"/>
        <v>←</v>
      </c>
      <c r="C515" s="11">
        <f t="shared" si="35"/>
        <v>0.10299999999999999</v>
      </c>
      <c r="D515" s="2">
        <v>1658201679910</v>
      </c>
      <c r="E515" t="s">
        <v>0</v>
      </c>
      <c r="F515" s="1">
        <v>5</v>
      </c>
      <c r="G515" s="1">
        <v>31</v>
      </c>
      <c r="H515" s="1">
        <v>21</v>
      </c>
      <c r="I515" s="1" t="s">
        <v>6</v>
      </c>
      <c r="J515" s="1">
        <v>3</v>
      </c>
      <c r="K515" s="1" t="s">
        <v>7</v>
      </c>
      <c r="R515" t="str">
        <f t="shared" ref="R515:R578" si="36">IF(E515="Ok",_xlfn.SWITCH(I515,5,"FURNACE STATUS REPORT Fan:"&amp;IF(_xlfn.BITAND(HEX2DEC(K515),1),"1","0")&amp;" Ignition:"&amp;IF(_xlfn.BITAND(HEX2DEC(K515),2),"1","0")&amp;" Burner:"&amp;IF(_xlfn.BITAND(HEX2DEC(K515),4),"1","0")&amp;" Unknown:"&amp;DEC2HEX(_xlfn.BITAND(HEX2DEC(K515),248)),6,"FURNACE STATUS REQUEST",7,"TIME "&amp;HEX2DEC(J515)&amp;":"&amp;HEX2DEC(K515)&amp;" "&amp;CHOOSE(L515+1,"Mon","Tue","Wed","Thu","Fri","Sat","Sun"),9,"PING FURNACE","0B","TEMPERATURE INFO Set:"&amp;HEX2DEC(K515)&amp;" Actual:"&amp;HEX2DEC(L515)/2&amp;" Countdown:"&amp;HEX2DEC(N515),29,"LONG PING FURNACE","FB","FURNACE STATUS RESPONSE Fan:"&amp;IF(_xlfn.BITAND(HEX2DEC(K515),1),"1","0")&amp;" Ignition:"&amp;IF(_xlfn.BITAND(HEX2DEC(K515),2),"1","0")&amp;" Burner:"&amp;IF(_xlfn.BITAND(HEX2DEC(K515),4),"1","0")&amp;" Unknown:"&amp;DEC2HEX(_xlfn.BITAND(HEX2DEC(K515),248)),"FF","Ack"),"")</f>
        <v>Ack</v>
      </c>
    </row>
    <row r="516" spans="1:18" hidden="1" x14ac:dyDescent="0.25">
      <c r="A516" s="3">
        <f t="shared" si="33"/>
        <v>44761.565741585648</v>
      </c>
      <c r="B516" s="8" t="str">
        <f t="shared" si="34"/>
        <v>→</v>
      </c>
      <c r="C516" s="11">
        <f t="shared" si="35"/>
        <v>0.16300000000000001</v>
      </c>
      <c r="D516" s="2">
        <v>1658201680073</v>
      </c>
      <c r="E516" t="s">
        <v>0</v>
      </c>
      <c r="F516" s="1" t="s">
        <v>3</v>
      </c>
      <c r="G516" s="1">
        <v>21</v>
      </c>
      <c r="H516" s="1">
        <v>31</v>
      </c>
      <c r="I516" s="1" t="s">
        <v>3</v>
      </c>
      <c r="J516" s="1">
        <v>0</v>
      </c>
      <c r="K516" s="1">
        <v>12</v>
      </c>
      <c r="L516" s="1">
        <v>25</v>
      </c>
      <c r="M516" s="1">
        <v>1</v>
      </c>
      <c r="N516" s="1">
        <v>0</v>
      </c>
      <c r="O516" s="1">
        <v>0</v>
      </c>
      <c r="P516" s="1">
        <v>32</v>
      </c>
      <c r="Q516" s="1">
        <v>81</v>
      </c>
      <c r="R516" t="str">
        <f t="shared" si="36"/>
        <v>TEMPERATURE INFO Set:18 Actual:18.5 Countdown:0</v>
      </c>
    </row>
    <row r="517" spans="1:18" hidden="1" x14ac:dyDescent="0.25">
      <c r="A517" s="3">
        <f t="shared" si="33"/>
        <v>44761.565743009261</v>
      </c>
      <c r="B517" s="8" t="str">
        <f t="shared" si="34"/>
        <v>←</v>
      </c>
      <c r="C517" s="11">
        <f t="shared" si="35"/>
        <v>0.123</v>
      </c>
      <c r="D517" s="2">
        <v>1658201680196</v>
      </c>
      <c r="E517" t="s">
        <v>0</v>
      </c>
      <c r="F517" s="1">
        <v>5</v>
      </c>
      <c r="G517" s="1">
        <v>31</v>
      </c>
      <c r="H517" s="1">
        <v>21</v>
      </c>
      <c r="I517" s="1" t="s">
        <v>6</v>
      </c>
      <c r="J517" s="1">
        <v>3</v>
      </c>
      <c r="K517" s="1" t="s">
        <v>7</v>
      </c>
      <c r="R517" t="str">
        <f t="shared" si="36"/>
        <v>Ack</v>
      </c>
    </row>
    <row r="518" spans="1:18" x14ac:dyDescent="0.25">
      <c r="A518" s="3">
        <f t="shared" si="33"/>
        <v>44761.565744131942</v>
      </c>
      <c r="B518" s="8" t="str">
        <f t="shared" si="34"/>
        <v>→</v>
      </c>
      <c r="C518" s="11">
        <f t="shared" si="35"/>
        <v>9.7000000000000003E-2</v>
      </c>
      <c r="D518" s="2">
        <v>1658201680293</v>
      </c>
      <c r="E518" t="s">
        <v>0</v>
      </c>
      <c r="F518" s="1">
        <v>6</v>
      </c>
      <c r="G518" s="1">
        <v>21</v>
      </c>
      <c r="H518" s="1">
        <v>31</v>
      </c>
      <c r="I518" s="1">
        <v>29</v>
      </c>
      <c r="J518" s="1">
        <v>0</v>
      </c>
      <c r="K518" s="1" t="s">
        <v>13</v>
      </c>
      <c r="L518" s="1" t="s">
        <v>14</v>
      </c>
      <c r="R518" t="str">
        <f t="shared" si="36"/>
        <v>LONG PING FURNACE</v>
      </c>
    </row>
    <row r="519" spans="1:18" hidden="1" x14ac:dyDescent="0.25">
      <c r="A519" s="3">
        <f t="shared" si="33"/>
        <v>44761.565745335647</v>
      </c>
      <c r="B519" s="8" t="str">
        <f t="shared" si="34"/>
        <v>←</v>
      </c>
      <c r="C519" s="11">
        <f t="shared" si="35"/>
        <v>0.104</v>
      </c>
      <c r="D519" s="2">
        <v>1658201680397</v>
      </c>
      <c r="E519" t="s">
        <v>0</v>
      </c>
      <c r="F519" s="1">
        <v>5</v>
      </c>
      <c r="G519" s="1">
        <v>31</v>
      </c>
      <c r="H519" s="1">
        <v>21</v>
      </c>
      <c r="I519" s="1" t="s">
        <v>6</v>
      </c>
      <c r="J519" s="1">
        <v>3</v>
      </c>
      <c r="K519" s="1" t="s">
        <v>7</v>
      </c>
      <c r="R519" t="str">
        <f t="shared" si="36"/>
        <v>Ack</v>
      </c>
    </row>
    <row r="520" spans="1:18" hidden="1" x14ac:dyDescent="0.25">
      <c r="A520" s="3">
        <f t="shared" si="33"/>
        <v>44761.5657465162</v>
      </c>
      <c r="B520" s="8" t="str">
        <f t="shared" si="34"/>
        <v>→</v>
      </c>
      <c r="C520" s="11">
        <f t="shared" si="35"/>
        <v>0.10199999999999999</v>
      </c>
      <c r="D520" s="2">
        <v>1658201680499</v>
      </c>
      <c r="E520" t="s">
        <v>0</v>
      </c>
      <c r="F520" s="1">
        <v>5</v>
      </c>
      <c r="G520" s="1">
        <v>21</v>
      </c>
      <c r="H520" s="1">
        <v>31</v>
      </c>
      <c r="I520" s="1">
        <v>6</v>
      </c>
      <c r="J520" s="1">
        <v>60</v>
      </c>
      <c r="K520" s="1">
        <v>83</v>
      </c>
      <c r="R520" t="str">
        <f t="shared" si="36"/>
        <v>FURNACE STATUS REQUEST</v>
      </c>
    </row>
    <row r="521" spans="1:18" hidden="1" x14ac:dyDescent="0.25">
      <c r="A521" s="3">
        <f t="shared" si="33"/>
        <v>44761.565748263885</v>
      </c>
      <c r="B521" s="8" t="str">
        <f t="shared" si="34"/>
        <v>←</v>
      </c>
      <c r="C521" s="11">
        <f t="shared" si="35"/>
        <v>0.151</v>
      </c>
      <c r="D521" s="2">
        <v>1658201680650</v>
      </c>
      <c r="E521" t="s">
        <v>0</v>
      </c>
      <c r="F521" s="1">
        <v>9</v>
      </c>
      <c r="G521" s="1">
        <v>31</v>
      </c>
      <c r="H521" s="1">
        <v>21</v>
      </c>
      <c r="I521" s="1" t="s">
        <v>1</v>
      </c>
      <c r="J521" s="1">
        <v>0</v>
      </c>
      <c r="K521" s="1">
        <v>0</v>
      </c>
      <c r="L521" s="1">
        <v>0</v>
      </c>
      <c r="M521" s="1">
        <v>0</v>
      </c>
      <c r="N521" s="1" t="s">
        <v>21</v>
      </c>
      <c r="O521" s="1" t="s">
        <v>22</v>
      </c>
      <c r="R521" t="str">
        <f t="shared" si="36"/>
        <v>FURNACE STATUS RESPONSE Fan:0 Ignition:0 Burner:0 Unknown:0</v>
      </c>
    </row>
    <row r="522" spans="1:18" hidden="1" x14ac:dyDescent="0.25">
      <c r="A522" s="3">
        <f t="shared" si="33"/>
        <v>44761.565966817128</v>
      </c>
      <c r="B522" s="8" t="str">
        <f t="shared" si="34"/>
        <v>→</v>
      </c>
      <c r="C522" s="11">
        <f t="shared" si="35"/>
        <v>18.882999999999999</v>
      </c>
      <c r="D522" s="2">
        <v>1658201699533</v>
      </c>
      <c r="E522" t="s">
        <v>0</v>
      </c>
      <c r="F522" s="1" t="s">
        <v>3</v>
      </c>
      <c r="G522" s="1">
        <v>21</v>
      </c>
      <c r="H522" s="1">
        <v>31</v>
      </c>
      <c r="I522" s="1" t="s">
        <v>3</v>
      </c>
      <c r="J522" s="1" t="s">
        <v>6</v>
      </c>
      <c r="K522" s="1">
        <v>12</v>
      </c>
      <c r="L522" s="1">
        <v>24</v>
      </c>
      <c r="M522" s="1">
        <v>1</v>
      </c>
      <c r="N522" s="1" t="s">
        <v>4</v>
      </c>
      <c r="O522" s="1">
        <v>0</v>
      </c>
      <c r="P522" s="1">
        <v>36</v>
      </c>
      <c r="Q522" s="1">
        <v>78</v>
      </c>
      <c r="R522" t="str">
        <f t="shared" si="36"/>
        <v>TEMPERATURE INFO Set:18 Actual:18 Countdown:180</v>
      </c>
    </row>
    <row r="523" spans="1:18" hidden="1" x14ac:dyDescent="0.25">
      <c r="A523" s="3">
        <f t="shared" si="33"/>
        <v>44761.565967986106</v>
      </c>
      <c r="B523" s="8" t="str">
        <f t="shared" si="34"/>
        <v>←</v>
      </c>
      <c r="C523" s="11">
        <f t="shared" si="35"/>
        <v>0.10100000000000001</v>
      </c>
      <c r="D523" s="2">
        <v>1658201699634</v>
      </c>
      <c r="E523" t="s">
        <v>0</v>
      </c>
      <c r="F523" s="1">
        <v>5</v>
      </c>
      <c r="G523" s="1">
        <v>31</v>
      </c>
      <c r="H523" s="1">
        <v>21</v>
      </c>
      <c r="I523" s="1" t="s">
        <v>6</v>
      </c>
      <c r="J523" s="1">
        <v>3</v>
      </c>
      <c r="K523" s="1" t="s">
        <v>7</v>
      </c>
      <c r="R523" t="str">
        <f t="shared" si="36"/>
        <v>Ack</v>
      </c>
    </row>
    <row r="524" spans="1:18" hidden="1" x14ac:dyDescent="0.25">
      <c r="A524" s="3">
        <f t="shared" si="33"/>
        <v>44761.565970162039</v>
      </c>
      <c r="B524" s="8" t="str">
        <f t="shared" si="34"/>
        <v>←</v>
      </c>
      <c r="C524" s="11">
        <f t="shared" si="35"/>
        <v>0.188</v>
      </c>
      <c r="D524" s="2">
        <v>1658201699822</v>
      </c>
      <c r="E524" t="s">
        <v>0</v>
      </c>
      <c r="F524" s="1">
        <v>9</v>
      </c>
      <c r="G524" s="1">
        <v>31</v>
      </c>
      <c r="H524" s="1">
        <v>21</v>
      </c>
      <c r="I524" s="1">
        <v>5</v>
      </c>
      <c r="J524" s="1">
        <v>0</v>
      </c>
      <c r="K524" s="1">
        <v>23</v>
      </c>
      <c r="L524" s="1">
        <v>0</v>
      </c>
      <c r="M524" s="1">
        <v>0</v>
      </c>
      <c r="N524" s="1" t="s">
        <v>8</v>
      </c>
      <c r="O524" s="1">
        <v>20</v>
      </c>
      <c r="R524" t="str">
        <f t="shared" si="36"/>
        <v>FURNACE STATUS REPORT Fan:1 Ignition:1 Burner:0 Unknown:20</v>
      </c>
    </row>
    <row r="525" spans="1:18" hidden="1" x14ac:dyDescent="0.25">
      <c r="A525" s="3">
        <f t="shared" si="33"/>
        <v>44761.565971111108</v>
      </c>
      <c r="B525" s="8" t="str">
        <f t="shared" si="34"/>
        <v>→</v>
      </c>
      <c r="C525" s="11">
        <f t="shared" si="35"/>
        <v>8.2000000000000003E-2</v>
      </c>
      <c r="D525" s="2">
        <v>1658201699904</v>
      </c>
      <c r="E525" t="s">
        <v>0</v>
      </c>
      <c r="F525" s="1">
        <v>5</v>
      </c>
      <c r="G525" s="1">
        <v>21</v>
      </c>
      <c r="H525" s="1">
        <v>31</v>
      </c>
      <c r="I525" s="1" t="s">
        <v>6</v>
      </c>
      <c r="J525" s="1">
        <v>62</v>
      </c>
      <c r="K525" s="1">
        <v>95</v>
      </c>
      <c r="R525" t="str">
        <f t="shared" si="36"/>
        <v>Ack</v>
      </c>
    </row>
    <row r="526" spans="1:18" hidden="1" x14ac:dyDescent="0.25">
      <c r="A526" s="3">
        <f t="shared" si="33"/>
        <v>44761.566140798612</v>
      </c>
      <c r="B526" s="8" t="str">
        <f t="shared" si="34"/>
        <v>←</v>
      </c>
      <c r="C526" s="11">
        <f t="shared" si="35"/>
        <v>14.661</v>
      </c>
      <c r="D526" s="2">
        <v>1658201714565</v>
      </c>
      <c r="E526" t="s">
        <v>0</v>
      </c>
      <c r="F526" s="1">
        <v>9</v>
      </c>
      <c r="G526" s="1">
        <v>31</v>
      </c>
      <c r="H526" s="1">
        <v>21</v>
      </c>
      <c r="I526" s="1">
        <v>5</v>
      </c>
      <c r="J526" s="1">
        <v>0</v>
      </c>
      <c r="K526" s="1">
        <v>33</v>
      </c>
      <c r="L526" s="1">
        <v>0</v>
      </c>
      <c r="M526" s="1">
        <v>0</v>
      </c>
      <c r="N526" s="1">
        <v>58</v>
      </c>
      <c r="O526" s="1">
        <v>63</v>
      </c>
      <c r="R526" t="str">
        <f t="shared" si="36"/>
        <v>FURNACE STATUS REPORT Fan:1 Ignition:1 Burner:0 Unknown:30</v>
      </c>
    </row>
    <row r="527" spans="1:18" hidden="1" x14ac:dyDescent="0.25">
      <c r="A527" s="3">
        <f t="shared" si="33"/>
        <v>44761.566141296295</v>
      </c>
      <c r="B527" s="8" t="str">
        <f t="shared" si="34"/>
        <v>→</v>
      </c>
      <c r="C527" s="11">
        <f t="shared" si="35"/>
        <v>4.2999999999999997E-2</v>
      </c>
      <c r="D527" s="2">
        <v>1658201714608</v>
      </c>
      <c r="E527" t="s">
        <v>0</v>
      </c>
      <c r="F527" s="1">
        <v>5</v>
      </c>
      <c r="G527" s="1">
        <v>21</v>
      </c>
      <c r="H527" s="1">
        <v>31</v>
      </c>
      <c r="I527" s="1" t="s">
        <v>6</v>
      </c>
      <c r="J527" s="1">
        <v>62</v>
      </c>
      <c r="K527" s="1">
        <v>95</v>
      </c>
      <c r="R527" t="str">
        <f t="shared" si="36"/>
        <v>Ack</v>
      </c>
    </row>
    <row r="528" spans="1:18" hidden="1" x14ac:dyDescent="0.25">
      <c r="A528" s="3">
        <f t="shared" si="33"/>
        <v>44761.566235023151</v>
      </c>
      <c r="B528" s="8" t="str">
        <f t="shared" si="34"/>
        <v>←</v>
      </c>
      <c r="C528" s="11">
        <f t="shared" si="35"/>
        <v>8.0980000000000008</v>
      </c>
      <c r="D528" s="2">
        <v>1658201722706</v>
      </c>
      <c r="E528" t="s">
        <v>0</v>
      </c>
      <c r="F528" s="1">
        <v>9</v>
      </c>
      <c r="G528" s="1">
        <v>31</v>
      </c>
      <c r="H528" s="1">
        <v>21</v>
      </c>
      <c r="I528" s="1">
        <v>5</v>
      </c>
      <c r="J528" s="1">
        <v>0</v>
      </c>
      <c r="K528" s="1">
        <v>37</v>
      </c>
      <c r="L528" s="1">
        <v>0</v>
      </c>
      <c r="M528" s="1">
        <v>0</v>
      </c>
      <c r="N528" s="1" t="s">
        <v>26</v>
      </c>
      <c r="O528" s="1">
        <v>30</v>
      </c>
      <c r="R528" t="str">
        <f t="shared" si="36"/>
        <v>FURNACE STATUS REPORT Fan:1 Ignition:1 Burner:1 Unknown:30</v>
      </c>
    </row>
    <row r="529" spans="1:18" hidden="1" x14ac:dyDescent="0.25">
      <c r="A529" s="3">
        <f t="shared" si="33"/>
        <v>44761.566236099534</v>
      </c>
      <c r="B529" s="8" t="str">
        <f t="shared" si="34"/>
        <v>→</v>
      </c>
      <c r="C529" s="11">
        <f t="shared" si="35"/>
        <v>9.2999999999999999E-2</v>
      </c>
      <c r="D529" s="2">
        <v>1658201722799</v>
      </c>
      <c r="E529" t="s">
        <v>0</v>
      </c>
      <c r="F529" s="1">
        <v>5</v>
      </c>
      <c r="G529" s="1">
        <v>21</v>
      </c>
      <c r="H529" s="1">
        <v>31</v>
      </c>
      <c r="I529" s="1" t="s">
        <v>6</v>
      </c>
      <c r="J529" s="1">
        <v>62</v>
      </c>
      <c r="K529" s="1">
        <v>95</v>
      </c>
      <c r="R529" t="str">
        <f t="shared" si="36"/>
        <v>Ack</v>
      </c>
    </row>
    <row r="530" spans="1:18" hidden="1" x14ac:dyDescent="0.25">
      <c r="A530" s="3">
        <f t="shared" si="33"/>
        <v>44761.56628175926</v>
      </c>
      <c r="B530" s="8" t="str">
        <f t="shared" si="34"/>
        <v>←</v>
      </c>
      <c r="C530" s="11">
        <f t="shared" si="35"/>
        <v>3.9449999999999998</v>
      </c>
      <c r="D530" s="2">
        <v>1658201726744</v>
      </c>
      <c r="E530" t="s">
        <v>0</v>
      </c>
      <c r="F530" s="1">
        <v>9</v>
      </c>
      <c r="G530" s="1">
        <v>31</v>
      </c>
      <c r="H530" s="1">
        <v>21</v>
      </c>
      <c r="I530" s="1">
        <v>5</v>
      </c>
      <c r="J530" s="1">
        <v>0</v>
      </c>
      <c r="K530" s="1">
        <v>36</v>
      </c>
      <c r="L530" s="1">
        <v>0</v>
      </c>
      <c r="M530" s="1">
        <v>0</v>
      </c>
      <c r="N530" s="1">
        <v>58</v>
      </c>
      <c r="O530" s="1">
        <v>27</v>
      </c>
      <c r="R530" t="str">
        <f t="shared" si="36"/>
        <v>FURNACE STATUS REPORT Fan:0 Ignition:1 Burner:1 Unknown:30</v>
      </c>
    </row>
    <row r="531" spans="1:18" hidden="1" x14ac:dyDescent="0.25">
      <c r="A531" s="3">
        <f t="shared" si="33"/>
        <v>44761.566282858796</v>
      </c>
      <c r="B531" s="8" t="str">
        <f t="shared" si="34"/>
        <v>→</v>
      </c>
      <c r="C531" s="11">
        <f t="shared" si="35"/>
        <v>9.5000000000000001E-2</v>
      </c>
      <c r="D531" s="2">
        <v>1658201726839</v>
      </c>
      <c r="E531" t="s">
        <v>0</v>
      </c>
      <c r="F531" s="1">
        <v>5</v>
      </c>
      <c r="G531" s="1">
        <v>21</v>
      </c>
      <c r="H531" s="1">
        <v>31</v>
      </c>
      <c r="I531" s="1" t="s">
        <v>6</v>
      </c>
      <c r="J531" s="1">
        <v>62</v>
      </c>
      <c r="K531" s="1">
        <v>95</v>
      </c>
      <c r="R531" t="str">
        <f t="shared" si="36"/>
        <v>Ack</v>
      </c>
    </row>
    <row r="532" spans="1:18" hidden="1" x14ac:dyDescent="0.25">
      <c r="A532" s="3">
        <f t="shared" si="33"/>
        <v>44761.566315196753</v>
      </c>
      <c r="B532" s="8" t="str">
        <f t="shared" si="34"/>
        <v>←</v>
      </c>
      <c r="C532" s="11">
        <f t="shared" si="35"/>
        <v>2.794</v>
      </c>
      <c r="D532" s="2">
        <v>1658201729633</v>
      </c>
      <c r="E532" t="s">
        <v>0</v>
      </c>
      <c r="F532" s="1">
        <v>9</v>
      </c>
      <c r="G532" s="1">
        <v>31</v>
      </c>
      <c r="H532" s="1">
        <v>21</v>
      </c>
      <c r="I532" s="1">
        <v>5</v>
      </c>
      <c r="J532" s="1">
        <v>0</v>
      </c>
      <c r="K532" s="1">
        <v>26</v>
      </c>
      <c r="L532" s="1">
        <v>0</v>
      </c>
      <c r="M532" s="1">
        <v>0</v>
      </c>
      <c r="N532" s="1" t="s">
        <v>8</v>
      </c>
      <c r="O532" s="1">
        <v>64</v>
      </c>
      <c r="R532" t="str">
        <f t="shared" si="36"/>
        <v>FURNACE STATUS REPORT Fan:0 Ignition:1 Burner:1 Unknown:20</v>
      </c>
    </row>
    <row r="533" spans="1:18" hidden="1" x14ac:dyDescent="0.25">
      <c r="A533" s="3">
        <f t="shared" si="33"/>
        <v>44761.566316296296</v>
      </c>
      <c r="B533" s="8" t="str">
        <f t="shared" si="34"/>
        <v>→</v>
      </c>
      <c r="C533" s="11">
        <f t="shared" si="35"/>
        <v>9.5000000000000001E-2</v>
      </c>
      <c r="D533" s="2">
        <v>1658201729728</v>
      </c>
      <c r="E533" t="s">
        <v>0</v>
      </c>
      <c r="F533" s="1">
        <v>5</v>
      </c>
      <c r="G533" s="1">
        <v>21</v>
      </c>
      <c r="H533" s="1">
        <v>31</v>
      </c>
      <c r="I533" s="1" t="s">
        <v>6</v>
      </c>
      <c r="J533" s="1">
        <v>62</v>
      </c>
      <c r="K533" s="1">
        <v>95</v>
      </c>
      <c r="R533" t="str">
        <f t="shared" si="36"/>
        <v>Ack</v>
      </c>
    </row>
    <row r="534" spans="1:18" hidden="1" x14ac:dyDescent="0.25">
      <c r="A534" s="3">
        <f t="shared" si="33"/>
        <v>44761.566397372684</v>
      </c>
      <c r="B534" s="8" t="str">
        <f t="shared" si="34"/>
        <v>←</v>
      </c>
      <c r="C534" s="11">
        <f t="shared" si="35"/>
        <v>7.0049999999999999</v>
      </c>
      <c r="D534" s="2">
        <v>1658201736733</v>
      </c>
      <c r="E534" t="s">
        <v>0</v>
      </c>
      <c r="F534" s="1">
        <v>9</v>
      </c>
      <c r="G534" s="1">
        <v>31</v>
      </c>
      <c r="H534" s="1">
        <v>21</v>
      </c>
      <c r="I534" s="1">
        <v>5</v>
      </c>
      <c r="J534" s="1">
        <v>0</v>
      </c>
      <c r="K534" s="1">
        <v>27</v>
      </c>
      <c r="L534" s="1">
        <v>0</v>
      </c>
      <c r="M534" s="1">
        <v>0</v>
      </c>
      <c r="N534" s="1">
        <v>59</v>
      </c>
      <c r="O534" s="1">
        <v>73</v>
      </c>
      <c r="R534" t="str">
        <f t="shared" si="36"/>
        <v>FURNACE STATUS REPORT Fan:1 Ignition:1 Burner:1 Unknown:20</v>
      </c>
    </row>
    <row r="535" spans="1:18" hidden="1" x14ac:dyDescent="0.25">
      <c r="A535" s="3">
        <f t="shared" si="33"/>
        <v>44761.566398425923</v>
      </c>
      <c r="B535" s="8" t="str">
        <f t="shared" si="34"/>
        <v>→</v>
      </c>
      <c r="C535" s="11">
        <f t="shared" si="35"/>
        <v>9.0999999999999998E-2</v>
      </c>
      <c r="D535" s="2">
        <v>1658201736824</v>
      </c>
      <c r="E535" t="s">
        <v>0</v>
      </c>
      <c r="F535" s="1">
        <v>5</v>
      </c>
      <c r="G535" s="1">
        <v>21</v>
      </c>
      <c r="H535" s="1">
        <v>31</v>
      </c>
      <c r="I535" s="1" t="s">
        <v>6</v>
      </c>
      <c r="J535" s="1">
        <v>62</v>
      </c>
      <c r="K535" s="1">
        <v>95</v>
      </c>
      <c r="R535" t="str">
        <f t="shared" si="36"/>
        <v>Ack</v>
      </c>
    </row>
    <row r="536" spans="1:18" hidden="1" x14ac:dyDescent="0.25">
      <c r="A536" s="3">
        <f t="shared" si="33"/>
        <v>44761.566430497682</v>
      </c>
      <c r="B536" s="8" t="str">
        <f t="shared" si="34"/>
        <v>→</v>
      </c>
      <c r="C536" s="11">
        <f t="shared" si="35"/>
        <v>2.7709999999999999</v>
      </c>
      <c r="D536" s="2">
        <v>1658201739595</v>
      </c>
      <c r="E536" t="s">
        <v>0</v>
      </c>
      <c r="F536" s="1">
        <v>8</v>
      </c>
      <c r="G536" s="1">
        <v>21</v>
      </c>
      <c r="H536" s="1">
        <v>31</v>
      </c>
      <c r="I536" s="1">
        <v>7</v>
      </c>
      <c r="J536" s="1" t="s">
        <v>70</v>
      </c>
      <c r="K536" s="1" t="s">
        <v>34</v>
      </c>
      <c r="L536" s="1">
        <v>1</v>
      </c>
      <c r="M536" s="1" t="s">
        <v>35</v>
      </c>
      <c r="N536" s="1" t="s">
        <v>109</v>
      </c>
      <c r="R536" t="str">
        <f t="shared" si="36"/>
        <v>TIME 13:30 Tue</v>
      </c>
    </row>
    <row r="537" spans="1:18" hidden="1" x14ac:dyDescent="0.25">
      <c r="A537" s="3">
        <f t="shared" si="33"/>
        <v>44761.566431770836</v>
      </c>
      <c r="B537" s="8" t="str">
        <f t="shared" si="34"/>
        <v>←</v>
      </c>
      <c r="C537" s="11">
        <f t="shared" si="35"/>
        <v>0.11</v>
      </c>
      <c r="D537" s="2">
        <v>1658201739705</v>
      </c>
      <c r="E537" t="s">
        <v>0</v>
      </c>
      <c r="F537" s="1">
        <v>5</v>
      </c>
      <c r="G537" s="1">
        <v>31</v>
      </c>
      <c r="H537" s="1">
        <v>21</v>
      </c>
      <c r="I537" s="1" t="s">
        <v>6</v>
      </c>
      <c r="J537" s="1">
        <v>3</v>
      </c>
      <c r="K537" s="1" t="s">
        <v>7</v>
      </c>
      <c r="R537" t="str">
        <f t="shared" si="36"/>
        <v>Ack</v>
      </c>
    </row>
    <row r="538" spans="1:18" hidden="1" x14ac:dyDescent="0.25">
      <c r="A538" s="3">
        <f t="shared" si="33"/>
        <v>44761.566433113425</v>
      </c>
      <c r="B538" s="8" t="str">
        <f t="shared" si="34"/>
        <v>→</v>
      </c>
      <c r="C538" s="11">
        <f t="shared" si="35"/>
        <v>0.11600000000000001</v>
      </c>
      <c r="D538" s="2">
        <v>1658201739821</v>
      </c>
      <c r="E538" t="s">
        <v>0</v>
      </c>
      <c r="F538" s="1">
        <v>5</v>
      </c>
      <c r="G538" s="1">
        <v>21</v>
      </c>
      <c r="H538" s="1">
        <v>31</v>
      </c>
      <c r="I538" s="1">
        <v>9</v>
      </c>
      <c r="J538" s="1">
        <v>60</v>
      </c>
      <c r="K538" s="1" t="s">
        <v>11</v>
      </c>
      <c r="R538" t="str">
        <f t="shared" si="36"/>
        <v>PING FURNACE</v>
      </c>
    </row>
    <row r="539" spans="1:18" hidden="1" x14ac:dyDescent="0.25">
      <c r="A539" s="3">
        <f t="shared" si="33"/>
        <v>44761.566434351851</v>
      </c>
      <c r="B539" s="8" t="str">
        <f t="shared" si="34"/>
        <v>←</v>
      </c>
      <c r="C539" s="11">
        <f t="shared" si="35"/>
        <v>0.107</v>
      </c>
      <c r="D539" s="2">
        <v>1658201739928</v>
      </c>
      <c r="E539" t="s">
        <v>0</v>
      </c>
      <c r="F539" s="1">
        <v>5</v>
      </c>
      <c r="G539" s="1">
        <v>31</v>
      </c>
      <c r="H539" s="1">
        <v>21</v>
      </c>
      <c r="I539" s="1" t="s">
        <v>6</v>
      </c>
      <c r="J539" s="1">
        <v>3</v>
      </c>
      <c r="K539" s="1" t="s">
        <v>7</v>
      </c>
      <c r="R539" t="str">
        <f t="shared" si="36"/>
        <v>Ack</v>
      </c>
    </row>
    <row r="540" spans="1:18" hidden="1" x14ac:dyDescent="0.25">
      <c r="A540" s="3">
        <f t="shared" si="33"/>
        <v>44761.566436111105</v>
      </c>
      <c r="B540" s="8" t="str">
        <f t="shared" si="34"/>
        <v>→</v>
      </c>
      <c r="C540" s="11">
        <f t="shared" si="35"/>
        <v>0.152</v>
      </c>
      <c r="D540" s="2">
        <v>1658201740080</v>
      </c>
      <c r="E540" t="s">
        <v>0</v>
      </c>
      <c r="F540" s="1" t="s">
        <v>3</v>
      </c>
      <c r="G540" s="1">
        <v>21</v>
      </c>
      <c r="H540" s="1">
        <v>31</v>
      </c>
      <c r="I540" s="1" t="s">
        <v>3</v>
      </c>
      <c r="J540" s="1" t="s">
        <v>6</v>
      </c>
      <c r="K540" s="1">
        <v>12</v>
      </c>
      <c r="L540" s="1">
        <v>24</v>
      </c>
      <c r="M540" s="1">
        <v>1</v>
      </c>
      <c r="N540" s="1" t="s">
        <v>65</v>
      </c>
      <c r="O540" s="1">
        <v>0</v>
      </c>
      <c r="P540" s="1">
        <v>26</v>
      </c>
      <c r="Q540" s="1" t="s">
        <v>5</v>
      </c>
      <c r="R540" t="str">
        <f t="shared" si="36"/>
        <v>TEMPERATURE INFO Set:18 Actual:18 Countdown:140</v>
      </c>
    </row>
    <row r="541" spans="1:18" hidden="1" x14ac:dyDescent="0.25">
      <c r="A541" s="3">
        <f t="shared" si="33"/>
        <v>44761.56643741898</v>
      </c>
      <c r="B541" s="8" t="str">
        <f t="shared" si="34"/>
        <v>←</v>
      </c>
      <c r="C541" s="11">
        <f t="shared" si="35"/>
        <v>0.113</v>
      </c>
      <c r="D541" s="2">
        <v>1658201740193</v>
      </c>
      <c r="E541" t="s">
        <v>0</v>
      </c>
      <c r="F541" s="1">
        <v>5</v>
      </c>
      <c r="G541" s="1">
        <v>31</v>
      </c>
      <c r="H541" s="1">
        <v>21</v>
      </c>
      <c r="I541" s="1" t="s">
        <v>6</v>
      </c>
      <c r="J541" s="1">
        <v>3</v>
      </c>
      <c r="K541" s="1" t="s">
        <v>7</v>
      </c>
      <c r="R541" t="str">
        <f t="shared" si="36"/>
        <v>Ack</v>
      </c>
    </row>
    <row r="542" spans="1:18" x14ac:dyDescent="0.25">
      <c r="A542" s="3">
        <f t="shared" si="33"/>
        <v>44761.566438703703</v>
      </c>
      <c r="B542" s="8" t="str">
        <f t="shared" si="34"/>
        <v>→</v>
      </c>
      <c r="C542" s="11">
        <f t="shared" si="35"/>
        <v>0.111</v>
      </c>
      <c r="D542" s="2">
        <v>1658201740304</v>
      </c>
      <c r="E542" t="s">
        <v>0</v>
      </c>
      <c r="F542" s="1">
        <v>6</v>
      </c>
      <c r="G542" s="1">
        <v>21</v>
      </c>
      <c r="H542" s="1">
        <v>31</v>
      </c>
      <c r="I542" s="1">
        <v>29</v>
      </c>
      <c r="J542" s="1">
        <v>0</v>
      </c>
      <c r="K542" s="1" t="s">
        <v>13</v>
      </c>
      <c r="L542" s="1" t="s">
        <v>14</v>
      </c>
      <c r="R542" t="str">
        <f t="shared" si="36"/>
        <v>LONG PING FURNACE</v>
      </c>
    </row>
    <row r="543" spans="1:18" hidden="1" x14ac:dyDescent="0.25">
      <c r="A543" s="3">
        <f t="shared" si="33"/>
        <v>44761.566439814815</v>
      </c>
      <c r="B543" s="8" t="str">
        <f t="shared" si="34"/>
        <v>←</v>
      </c>
      <c r="C543" s="11">
        <f t="shared" si="35"/>
        <v>9.6000000000000002E-2</v>
      </c>
      <c r="D543" s="2">
        <v>1658201740400</v>
      </c>
      <c r="E543" t="s">
        <v>0</v>
      </c>
      <c r="F543" s="1">
        <v>5</v>
      </c>
      <c r="G543" s="1">
        <v>31</v>
      </c>
      <c r="H543" s="1">
        <v>21</v>
      </c>
      <c r="I543" s="1" t="s">
        <v>6</v>
      </c>
      <c r="J543" s="1">
        <v>3</v>
      </c>
      <c r="K543" s="1" t="s">
        <v>7</v>
      </c>
      <c r="R543" t="str">
        <f t="shared" si="36"/>
        <v>Ack</v>
      </c>
    </row>
    <row r="544" spans="1:18" hidden="1" x14ac:dyDescent="0.25">
      <c r="A544" s="3">
        <f t="shared" si="33"/>
        <v>44761.566440925926</v>
      </c>
      <c r="B544" s="8" t="str">
        <f t="shared" si="34"/>
        <v>→</v>
      </c>
      <c r="C544" s="11">
        <f t="shared" si="35"/>
        <v>9.6000000000000002E-2</v>
      </c>
      <c r="D544" s="2">
        <v>1658201740496</v>
      </c>
      <c r="E544" t="s">
        <v>0</v>
      </c>
      <c r="F544" s="1">
        <v>5</v>
      </c>
      <c r="G544" s="1">
        <v>21</v>
      </c>
      <c r="H544" s="1">
        <v>31</v>
      </c>
      <c r="I544" s="1">
        <v>6</v>
      </c>
      <c r="J544" s="1">
        <v>60</v>
      </c>
      <c r="K544" s="1">
        <v>83</v>
      </c>
      <c r="R544" t="str">
        <f t="shared" si="36"/>
        <v>FURNACE STATUS REQUEST</v>
      </c>
    </row>
    <row r="545" spans="1:18" hidden="1" x14ac:dyDescent="0.25">
      <c r="A545" s="3">
        <f t="shared" si="33"/>
        <v>44761.566442615738</v>
      </c>
      <c r="B545" s="8" t="str">
        <f t="shared" si="34"/>
        <v>←</v>
      </c>
      <c r="C545" s="11">
        <f t="shared" si="35"/>
        <v>0.14599999999999999</v>
      </c>
      <c r="D545" s="2">
        <v>1658201740642</v>
      </c>
      <c r="E545" t="s">
        <v>0</v>
      </c>
      <c r="F545" s="1">
        <v>9</v>
      </c>
      <c r="G545" s="1">
        <v>31</v>
      </c>
      <c r="H545" s="1">
        <v>21</v>
      </c>
      <c r="I545" s="1" t="s">
        <v>1</v>
      </c>
      <c r="J545" s="1">
        <v>0</v>
      </c>
      <c r="K545" s="1">
        <v>27</v>
      </c>
      <c r="L545" s="1">
        <v>0</v>
      </c>
      <c r="M545" s="1">
        <v>0</v>
      </c>
      <c r="N545" s="1" t="s">
        <v>2</v>
      </c>
      <c r="O545" s="1">
        <v>20</v>
      </c>
      <c r="R545" t="str">
        <f t="shared" si="36"/>
        <v>FURNACE STATUS RESPONSE Fan:1 Ignition:1 Burner:1 Unknown:20</v>
      </c>
    </row>
    <row r="546" spans="1:18" hidden="1" x14ac:dyDescent="0.25">
      <c r="A546" s="3">
        <f t="shared" ref="A546:A609" si="37">D546/(1000*60*60*24)+25569+10/24</f>
        <v>44761.567124999994</v>
      </c>
      <c r="B546" s="8" t="str">
        <f t="shared" ref="B546:B609" si="38">IF(AND(G546=21,H546=31),"→",IF(AND(G546=31,H546=21),"←","Error"))</f>
        <v>→</v>
      </c>
      <c r="C546" s="11">
        <f t="shared" ref="C546:C609" si="39">(D546-D545)/1000</f>
        <v>58.957999999999998</v>
      </c>
      <c r="D546" s="2">
        <v>1658201799600</v>
      </c>
      <c r="E546" t="s">
        <v>0</v>
      </c>
      <c r="F546" s="1">
        <v>8</v>
      </c>
      <c r="G546" s="1">
        <v>21</v>
      </c>
      <c r="H546" s="1">
        <v>31</v>
      </c>
      <c r="I546" s="1">
        <v>7</v>
      </c>
      <c r="J546" s="1" t="s">
        <v>70</v>
      </c>
      <c r="K546" s="1" t="s">
        <v>36</v>
      </c>
      <c r="L546" s="1">
        <v>1</v>
      </c>
      <c r="M546" s="1">
        <v>56</v>
      </c>
      <c r="N546" s="1" t="s">
        <v>57</v>
      </c>
      <c r="R546" t="str">
        <f t="shared" si="36"/>
        <v>TIME 13:31 Tue</v>
      </c>
    </row>
    <row r="547" spans="1:18" hidden="1" x14ac:dyDescent="0.25">
      <c r="A547" s="3">
        <f t="shared" si="37"/>
        <v>44761.56712634259</v>
      </c>
      <c r="B547" s="8" t="str">
        <f t="shared" si="38"/>
        <v>←</v>
      </c>
      <c r="C547" s="11">
        <f t="shared" si="39"/>
        <v>0.11600000000000001</v>
      </c>
      <c r="D547" s="2">
        <v>1658201799716</v>
      </c>
      <c r="E547" t="s">
        <v>0</v>
      </c>
      <c r="F547" s="1">
        <v>5</v>
      </c>
      <c r="G547" s="1">
        <v>31</v>
      </c>
      <c r="H547" s="1">
        <v>21</v>
      </c>
      <c r="I547" s="1" t="s">
        <v>6</v>
      </c>
      <c r="J547" s="1">
        <v>3</v>
      </c>
      <c r="K547" s="1" t="s">
        <v>7</v>
      </c>
      <c r="R547" t="str">
        <f t="shared" si="36"/>
        <v>Ack</v>
      </c>
    </row>
    <row r="548" spans="1:18" hidden="1" x14ac:dyDescent="0.25">
      <c r="A548" s="3">
        <f t="shared" si="37"/>
        <v>44761.56712767361</v>
      </c>
      <c r="B548" s="8" t="str">
        <f t="shared" si="38"/>
        <v>→</v>
      </c>
      <c r="C548" s="11">
        <f t="shared" si="39"/>
        <v>0.115</v>
      </c>
      <c r="D548" s="2">
        <v>1658201799831</v>
      </c>
      <c r="E548" t="s">
        <v>0</v>
      </c>
      <c r="F548" s="1">
        <v>5</v>
      </c>
      <c r="G548" s="1">
        <v>21</v>
      </c>
      <c r="H548" s="1">
        <v>31</v>
      </c>
      <c r="I548" s="1">
        <v>9</v>
      </c>
      <c r="J548" s="1">
        <v>60</v>
      </c>
      <c r="K548" s="1" t="s">
        <v>11</v>
      </c>
      <c r="R548" t="str">
        <f t="shared" si="36"/>
        <v>PING FURNACE</v>
      </c>
    </row>
    <row r="549" spans="1:18" hidden="1" x14ac:dyDescent="0.25">
      <c r="A549" s="3">
        <f t="shared" si="37"/>
        <v>44761.567129259252</v>
      </c>
      <c r="B549" s="8" t="str">
        <f t="shared" si="38"/>
        <v>←</v>
      </c>
      <c r="C549" s="11">
        <f t="shared" si="39"/>
        <v>0.13700000000000001</v>
      </c>
      <c r="D549" s="2">
        <v>1658201799968</v>
      </c>
      <c r="E549" t="s">
        <v>0</v>
      </c>
      <c r="F549" s="1">
        <v>5</v>
      </c>
      <c r="G549" s="1">
        <v>31</v>
      </c>
      <c r="H549" s="1">
        <v>21</v>
      </c>
      <c r="I549" s="1" t="s">
        <v>6</v>
      </c>
      <c r="J549" s="1">
        <v>3</v>
      </c>
      <c r="K549" s="1" t="s">
        <v>7</v>
      </c>
      <c r="R549" t="str">
        <f t="shared" si="36"/>
        <v>Ack</v>
      </c>
    </row>
    <row r="550" spans="1:18" hidden="1" x14ac:dyDescent="0.25">
      <c r="A550" s="3">
        <f t="shared" si="37"/>
        <v>44761.567131122683</v>
      </c>
      <c r="B550" s="8" t="str">
        <f t="shared" si="38"/>
        <v>→</v>
      </c>
      <c r="C550" s="11">
        <f t="shared" si="39"/>
        <v>0.161</v>
      </c>
      <c r="D550" s="2">
        <v>1658201800129</v>
      </c>
      <c r="E550" t="s">
        <v>0</v>
      </c>
      <c r="F550" s="1" t="s">
        <v>3</v>
      </c>
      <c r="G550" s="1">
        <v>21</v>
      </c>
      <c r="H550" s="1">
        <v>31</v>
      </c>
      <c r="I550" s="1" t="s">
        <v>3</v>
      </c>
      <c r="J550" s="1" t="s">
        <v>6</v>
      </c>
      <c r="K550" s="1">
        <v>12</v>
      </c>
      <c r="L550" s="1">
        <v>24</v>
      </c>
      <c r="M550" s="1">
        <v>1</v>
      </c>
      <c r="N550" s="1">
        <v>50</v>
      </c>
      <c r="O550" s="1">
        <v>0</v>
      </c>
      <c r="P550" s="1" t="s">
        <v>95</v>
      </c>
      <c r="Q550" s="1">
        <v>77</v>
      </c>
      <c r="R550" t="str">
        <f t="shared" si="36"/>
        <v>TEMPERATURE INFO Set:18 Actual:18 Countdown:80</v>
      </c>
    </row>
    <row r="551" spans="1:18" hidden="1" x14ac:dyDescent="0.25">
      <c r="A551" s="3">
        <f t="shared" si="37"/>
        <v>44761.567132280092</v>
      </c>
      <c r="B551" s="8" t="str">
        <f t="shared" si="38"/>
        <v>←</v>
      </c>
      <c r="C551" s="11">
        <f t="shared" si="39"/>
        <v>0.1</v>
      </c>
      <c r="D551" s="2">
        <v>1658201800229</v>
      </c>
      <c r="E551" t="s">
        <v>0</v>
      </c>
      <c r="F551" s="1">
        <v>5</v>
      </c>
      <c r="G551" s="1">
        <v>31</v>
      </c>
      <c r="H551" s="1">
        <v>21</v>
      </c>
      <c r="I551" s="1" t="s">
        <v>6</v>
      </c>
      <c r="J551" s="1">
        <v>3</v>
      </c>
      <c r="K551" s="1" t="s">
        <v>7</v>
      </c>
      <c r="R551" t="str">
        <f t="shared" si="36"/>
        <v>Ack</v>
      </c>
    </row>
    <row r="552" spans="1:18" x14ac:dyDescent="0.25">
      <c r="A552" s="3">
        <f t="shared" si="37"/>
        <v>44761.56713348379</v>
      </c>
      <c r="B552" s="8" t="str">
        <f t="shared" si="38"/>
        <v>→</v>
      </c>
      <c r="C552" s="11">
        <f t="shared" si="39"/>
        <v>0.104</v>
      </c>
      <c r="D552" s="2">
        <v>1658201800333</v>
      </c>
      <c r="E552" t="s">
        <v>0</v>
      </c>
      <c r="F552" s="1">
        <v>6</v>
      </c>
      <c r="G552" s="1">
        <v>21</v>
      </c>
      <c r="H552" s="1">
        <v>31</v>
      </c>
      <c r="I552" s="1">
        <v>29</v>
      </c>
      <c r="J552" s="1">
        <v>0</v>
      </c>
      <c r="K552" s="1" t="s">
        <v>13</v>
      </c>
      <c r="L552" s="1" t="s">
        <v>14</v>
      </c>
      <c r="R552" t="str">
        <f t="shared" si="36"/>
        <v>LONG PING FURNACE</v>
      </c>
    </row>
    <row r="553" spans="1:18" hidden="1" x14ac:dyDescent="0.25">
      <c r="A553" s="3">
        <f t="shared" si="37"/>
        <v>44761.567134953701</v>
      </c>
      <c r="B553" s="8" t="str">
        <f t="shared" si="38"/>
        <v>←</v>
      </c>
      <c r="C553" s="11">
        <f t="shared" si="39"/>
        <v>0.127</v>
      </c>
      <c r="D553" s="2">
        <v>1658201800460</v>
      </c>
      <c r="E553" t="s">
        <v>0</v>
      </c>
      <c r="F553" s="1">
        <v>5</v>
      </c>
      <c r="G553" s="1">
        <v>31</v>
      </c>
      <c r="H553" s="1">
        <v>21</v>
      </c>
      <c r="I553" s="1" t="s">
        <v>6</v>
      </c>
      <c r="J553" s="1">
        <v>3</v>
      </c>
      <c r="K553" s="1" t="s">
        <v>7</v>
      </c>
      <c r="R553" t="str">
        <f t="shared" si="36"/>
        <v>Ack</v>
      </c>
    </row>
    <row r="554" spans="1:18" hidden="1" x14ac:dyDescent="0.25">
      <c r="A554" s="3">
        <f t="shared" si="37"/>
        <v>44761.567136053236</v>
      </c>
      <c r="B554" s="8" t="str">
        <f t="shared" si="38"/>
        <v>→</v>
      </c>
      <c r="C554" s="11">
        <f t="shared" si="39"/>
        <v>9.5000000000000001E-2</v>
      </c>
      <c r="D554" s="2">
        <v>1658201800555</v>
      </c>
      <c r="E554" t="s">
        <v>0</v>
      </c>
      <c r="F554" s="1">
        <v>5</v>
      </c>
      <c r="G554" s="1">
        <v>21</v>
      </c>
      <c r="H554" s="1">
        <v>31</v>
      </c>
      <c r="I554" s="1">
        <v>6</v>
      </c>
      <c r="J554" s="1">
        <v>60</v>
      </c>
      <c r="K554" s="1">
        <v>83</v>
      </c>
      <c r="R554" t="str">
        <f t="shared" si="36"/>
        <v>FURNACE STATUS REQUEST</v>
      </c>
    </row>
    <row r="555" spans="1:18" hidden="1" x14ac:dyDescent="0.25">
      <c r="A555" s="3">
        <f t="shared" si="37"/>
        <v>44761.567137685182</v>
      </c>
      <c r="B555" s="8" t="str">
        <f t="shared" si="38"/>
        <v>←</v>
      </c>
      <c r="C555" s="11">
        <f t="shared" si="39"/>
        <v>0.14099999999999999</v>
      </c>
      <c r="D555" s="2">
        <v>1658201800696</v>
      </c>
      <c r="E555" t="s">
        <v>0</v>
      </c>
      <c r="F555" s="1">
        <v>9</v>
      </c>
      <c r="G555" s="1">
        <v>31</v>
      </c>
      <c r="H555" s="1">
        <v>21</v>
      </c>
      <c r="I555" s="1" t="s">
        <v>1</v>
      </c>
      <c r="J555" s="1">
        <v>0</v>
      </c>
      <c r="K555" s="1">
        <v>27</v>
      </c>
      <c r="L555" s="1">
        <v>0</v>
      </c>
      <c r="M555" s="1">
        <v>0</v>
      </c>
      <c r="N555" s="1" t="s">
        <v>2</v>
      </c>
      <c r="O555" s="1">
        <v>20</v>
      </c>
      <c r="R555" t="str">
        <f t="shared" si="36"/>
        <v>FURNACE STATUS RESPONSE Fan:1 Ignition:1 Burner:1 Unknown:20</v>
      </c>
    </row>
    <row r="556" spans="1:18" hidden="1" x14ac:dyDescent="0.25">
      <c r="A556" s="3">
        <f t="shared" si="37"/>
        <v>44761.567819479162</v>
      </c>
      <c r="B556" s="8" t="str">
        <f t="shared" si="38"/>
        <v>→</v>
      </c>
      <c r="C556" s="11">
        <f t="shared" si="39"/>
        <v>58.906999999999996</v>
      </c>
      <c r="D556" s="2">
        <v>1658201859603</v>
      </c>
      <c r="E556" t="s">
        <v>0</v>
      </c>
      <c r="F556" s="1">
        <v>8</v>
      </c>
      <c r="G556" s="1">
        <v>21</v>
      </c>
      <c r="H556" s="1">
        <v>31</v>
      </c>
      <c r="I556" s="1">
        <v>7</v>
      </c>
      <c r="J556" s="1" t="s">
        <v>70</v>
      </c>
      <c r="K556" s="1">
        <v>20</v>
      </c>
      <c r="L556" s="1">
        <v>1</v>
      </c>
      <c r="M556" s="1" t="s">
        <v>37</v>
      </c>
      <c r="N556" s="1" t="s">
        <v>57</v>
      </c>
      <c r="R556" t="str">
        <f t="shared" si="36"/>
        <v>TIME 13:32 Tue</v>
      </c>
    </row>
    <row r="557" spans="1:18" hidden="1" x14ac:dyDescent="0.25">
      <c r="A557" s="3">
        <f t="shared" si="37"/>
        <v>44761.567820914344</v>
      </c>
      <c r="B557" s="8" t="str">
        <f t="shared" si="38"/>
        <v>←</v>
      </c>
      <c r="C557" s="11">
        <f t="shared" si="39"/>
        <v>0.124</v>
      </c>
      <c r="D557" s="2">
        <v>1658201859727</v>
      </c>
      <c r="E557" t="s">
        <v>0</v>
      </c>
      <c r="F557" s="1">
        <v>5</v>
      </c>
      <c r="G557" s="1">
        <v>31</v>
      </c>
      <c r="H557" s="1">
        <v>21</v>
      </c>
      <c r="I557" s="1" t="s">
        <v>6</v>
      </c>
      <c r="J557" s="1">
        <v>3</v>
      </c>
      <c r="K557" s="1" t="s">
        <v>7</v>
      </c>
      <c r="R557" t="str">
        <f t="shared" si="36"/>
        <v>Ack</v>
      </c>
    </row>
    <row r="558" spans="1:18" hidden="1" x14ac:dyDescent="0.25">
      <c r="A558" s="3">
        <f t="shared" si="37"/>
        <v>44761.567822037039</v>
      </c>
      <c r="B558" s="8" t="str">
        <f t="shared" si="38"/>
        <v>→</v>
      </c>
      <c r="C558" s="11">
        <f t="shared" si="39"/>
        <v>9.7000000000000003E-2</v>
      </c>
      <c r="D558" s="2">
        <v>1658201859824</v>
      </c>
      <c r="E558" t="s">
        <v>0</v>
      </c>
      <c r="F558" s="1">
        <v>5</v>
      </c>
      <c r="G558" s="1">
        <v>21</v>
      </c>
      <c r="H558" s="1">
        <v>31</v>
      </c>
      <c r="I558" s="1">
        <v>9</v>
      </c>
      <c r="J558" s="1">
        <v>60</v>
      </c>
      <c r="K558" s="1" t="s">
        <v>11</v>
      </c>
      <c r="R558" t="str">
        <f t="shared" si="36"/>
        <v>PING FURNACE</v>
      </c>
    </row>
    <row r="559" spans="1:18" hidden="1" x14ac:dyDescent="0.25">
      <c r="A559" s="3">
        <f t="shared" si="37"/>
        <v>44761.56782355324</v>
      </c>
      <c r="B559" s="8" t="str">
        <f t="shared" si="38"/>
        <v>←</v>
      </c>
      <c r="C559" s="11">
        <f t="shared" si="39"/>
        <v>0.13100000000000001</v>
      </c>
      <c r="D559" s="2">
        <v>1658201859955</v>
      </c>
      <c r="E559" t="s">
        <v>0</v>
      </c>
      <c r="F559" s="1">
        <v>5</v>
      </c>
      <c r="G559" s="1">
        <v>31</v>
      </c>
      <c r="H559" s="1">
        <v>21</v>
      </c>
      <c r="I559" s="1" t="s">
        <v>6</v>
      </c>
      <c r="J559" s="1">
        <v>3</v>
      </c>
      <c r="K559" s="1" t="s">
        <v>7</v>
      </c>
      <c r="R559" t="str">
        <f t="shared" si="36"/>
        <v>Ack</v>
      </c>
    </row>
    <row r="560" spans="1:18" hidden="1" x14ac:dyDescent="0.25">
      <c r="A560" s="3">
        <f t="shared" si="37"/>
        <v>44761.567825347222</v>
      </c>
      <c r="B560" s="8" t="str">
        <f t="shared" si="38"/>
        <v>→</v>
      </c>
      <c r="C560" s="11">
        <f t="shared" si="39"/>
        <v>0.155</v>
      </c>
      <c r="D560" s="2">
        <v>1658201860110</v>
      </c>
      <c r="E560" t="s">
        <v>0</v>
      </c>
      <c r="F560" s="1" t="s">
        <v>3</v>
      </c>
      <c r="G560" s="1">
        <v>21</v>
      </c>
      <c r="H560" s="1">
        <v>31</v>
      </c>
      <c r="I560" s="1" t="s">
        <v>3</v>
      </c>
      <c r="J560" s="1" t="s">
        <v>6</v>
      </c>
      <c r="K560" s="1">
        <v>12</v>
      </c>
      <c r="L560" s="1">
        <v>25</v>
      </c>
      <c r="M560" s="1">
        <v>1</v>
      </c>
      <c r="N560" s="1">
        <v>14</v>
      </c>
      <c r="O560" s="1">
        <v>0</v>
      </c>
      <c r="P560" s="1">
        <v>62</v>
      </c>
      <c r="Q560" s="1">
        <v>71</v>
      </c>
      <c r="R560" t="str">
        <f t="shared" si="36"/>
        <v>TEMPERATURE INFO Set:18 Actual:18.5 Countdown:20</v>
      </c>
    </row>
    <row r="561" spans="1:18" hidden="1" x14ac:dyDescent="0.25">
      <c r="A561" s="3">
        <f t="shared" si="37"/>
        <v>44761.567826678242</v>
      </c>
      <c r="B561" s="8" t="str">
        <f t="shared" si="38"/>
        <v>←</v>
      </c>
      <c r="C561" s="11">
        <f t="shared" si="39"/>
        <v>0.115</v>
      </c>
      <c r="D561" s="2">
        <v>1658201860225</v>
      </c>
      <c r="E561" t="s">
        <v>0</v>
      </c>
      <c r="F561" s="1">
        <v>5</v>
      </c>
      <c r="G561" s="1">
        <v>31</v>
      </c>
      <c r="H561" s="1">
        <v>21</v>
      </c>
      <c r="I561" s="1" t="s">
        <v>6</v>
      </c>
      <c r="J561" s="1">
        <v>3</v>
      </c>
      <c r="K561" s="1" t="s">
        <v>7</v>
      </c>
      <c r="R561" t="str">
        <f t="shared" si="36"/>
        <v>Ack</v>
      </c>
    </row>
    <row r="562" spans="1:18" x14ac:dyDescent="0.25">
      <c r="A562" s="3">
        <f t="shared" si="37"/>
        <v>44761.567827812498</v>
      </c>
      <c r="B562" s="8" t="str">
        <f t="shared" si="38"/>
        <v>→</v>
      </c>
      <c r="C562" s="11">
        <f t="shared" si="39"/>
        <v>9.8000000000000004E-2</v>
      </c>
      <c r="D562" s="2">
        <v>1658201860323</v>
      </c>
      <c r="E562" t="s">
        <v>0</v>
      </c>
      <c r="F562" s="1">
        <v>6</v>
      </c>
      <c r="G562" s="1">
        <v>21</v>
      </c>
      <c r="H562" s="1">
        <v>31</v>
      </c>
      <c r="I562" s="1">
        <v>29</v>
      </c>
      <c r="J562" s="1">
        <v>0</v>
      </c>
      <c r="K562" s="1" t="s">
        <v>13</v>
      </c>
      <c r="L562" s="1" t="s">
        <v>14</v>
      </c>
      <c r="R562" t="str">
        <f t="shared" si="36"/>
        <v>LONG PING FURNACE</v>
      </c>
    </row>
    <row r="563" spans="1:18" hidden="1" x14ac:dyDescent="0.25">
      <c r="A563" s="3">
        <f t="shared" si="37"/>
        <v>44761.567829293977</v>
      </c>
      <c r="B563" s="8" t="str">
        <f t="shared" si="38"/>
        <v>←</v>
      </c>
      <c r="C563" s="11">
        <f t="shared" si="39"/>
        <v>0.128</v>
      </c>
      <c r="D563" s="2">
        <v>1658201860451</v>
      </c>
      <c r="E563" t="s">
        <v>0</v>
      </c>
      <c r="F563" s="1">
        <v>5</v>
      </c>
      <c r="G563" s="1">
        <v>31</v>
      </c>
      <c r="H563" s="1">
        <v>21</v>
      </c>
      <c r="I563" s="1" t="s">
        <v>6</v>
      </c>
      <c r="J563" s="1">
        <v>3</v>
      </c>
      <c r="K563" s="1" t="s">
        <v>7</v>
      </c>
      <c r="R563" t="str">
        <f t="shared" si="36"/>
        <v>Ack</v>
      </c>
    </row>
    <row r="564" spans="1:18" hidden="1" x14ac:dyDescent="0.25">
      <c r="A564" s="3">
        <f t="shared" si="37"/>
        <v>44761.56783039352</v>
      </c>
      <c r="B564" s="8" t="str">
        <f t="shared" si="38"/>
        <v>→</v>
      </c>
      <c r="C564" s="11">
        <f t="shared" si="39"/>
        <v>9.5000000000000001E-2</v>
      </c>
      <c r="D564" s="2">
        <v>1658201860546</v>
      </c>
      <c r="E564" t="s">
        <v>0</v>
      </c>
      <c r="F564" s="1">
        <v>5</v>
      </c>
      <c r="G564" s="1">
        <v>21</v>
      </c>
      <c r="H564" s="1">
        <v>31</v>
      </c>
      <c r="I564" s="1">
        <v>6</v>
      </c>
      <c r="J564" s="1">
        <v>60</v>
      </c>
      <c r="K564" s="1">
        <v>83</v>
      </c>
      <c r="R564" t="str">
        <f t="shared" si="36"/>
        <v>FURNACE STATUS REQUEST</v>
      </c>
    </row>
    <row r="565" spans="1:18" hidden="1" x14ac:dyDescent="0.25">
      <c r="A565" s="3">
        <f t="shared" si="37"/>
        <v>44761.567832129622</v>
      </c>
      <c r="B565" s="8" t="str">
        <f t="shared" si="38"/>
        <v>←</v>
      </c>
      <c r="C565" s="11">
        <f t="shared" si="39"/>
        <v>0.15</v>
      </c>
      <c r="D565" s="2">
        <v>1658201860696</v>
      </c>
      <c r="E565" t="s">
        <v>0</v>
      </c>
      <c r="F565" s="1">
        <v>9</v>
      </c>
      <c r="G565" s="1">
        <v>31</v>
      </c>
      <c r="H565" s="1">
        <v>21</v>
      </c>
      <c r="I565" s="1" t="s">
        <v>1</v>
      </c>
      <c r="J565" s="1">
        <v>0</v>
      </c>
      <c r="K565" s="1">
        <v>27</v>
      </c>
      <c r="L565" s="1">
        <v>0</v>
      </c>
      <c r="M565" s="1">
        <v>0</v>
      </c>
      <c r="N565" s="1" t="s">
        <v>2</v>
      </c>
      <c r="O565" s="1">
        <v>20</v>
      </c>
      <c r="R565" t="str">
        <f t="shared" si="36"/>
        <v>FURNACE STATUS RESPONSE Fan:1 Ignition:1 Burner:1 Unknown:20</v>
      </c>
    </row>
    <row r="566" spans="1:18" hidden="1" x14ac:dyDescent="0.25">
      <c r="A566" s="3">
        <f t="shared" si="37"/>
        <v>44761.568035520831</v>
      </c>
      <c r="B566" s="8" t="str">
        <f t="shared" si="38"/>
        <v>→</v>
      </c>
      <c r="C566" s="11">
        <f t="shared" si="39"/>
        <v>17.573</v>
      </c>
      <c r="D566" s="2">
        <v>1658201878269</v>
      </c>
      <c r="E566" t="s">
        <v>0</v>
      </c>
      <c r="F566" s="1" t="s">
        <v>3</v>
      </c>
      <c r="G566" s="1">
        <v>21</v>
      </c>
      <c r="H566" s="1">
        <v>31</v>
      </c>
      <c r="I566" s="1" t="s">
        <v>3</v>
      </c>
      <c r="J566" s="1">
        <v>0</v>
      </c>
      <c r="K566" s="1">
        <v>12</v>
      </c>
      <c r="L566" s="1">
        <v>25</v>
      </c>
      <c r="M566" s="1">
        <v>1</v>
      </c>
      <c r="N566" s="1" t="s">
        <v>4</v>
      </c>
      <c r="O566" s="1">
        <v>0</v>
      </c>
      <c r="P566" s="1" t="s">
        <v>101</v>
      </c>
      <c r="Q566" s="1" t="s">
        <v>108</v>
      </c>
      <c r="R566" t="str">
        <f t="shared" si="36"/>
        <v>TEMPERATURE INFO Set:18 Actual:18.5 Countdown:180</v>
      </c>
    </row>
    <row r="567" spans="1:18" hidden="1" x14ac:dyDescent="0.25">
      <c r="A567" s="3">
        <f t="shared" si="37"/>
        <v>44761.568036840275</v>
      </c>
      <c r="B567" s="8" t="str">
        <f t="shared" si="38"/>
        <v>←</v>
      </c>
      <c r="C567" s="11">
        <f t="shared" si="39"/>
        <v>0.114</v>
      </c>
      <c r="D567" s="2">
        <v>1658201878383</v>
      </c>
      <c r="E567" t="s">
        <v>0</v>
      </c>
      <c r="F567" s="1">
        <v>5</v>
      </c>
      <c r="G567" s="1">
        <v>31</v>
      </c>
      <c r="H567" s="1">
        <v>21</v>
      </c>
      <c r="I567" s="1" t="s">
        <v>6</v>
      </c>
      <c r="J567" s="1">
        <v>3</v>
      </c>
      <c r="K567" s="1" t="s">
        <v>7</v>
      </c>
      <c r="R567" t="str">
        <f t="shared" si="36"/>
        <v>Ack</v>
      </c>
    </row>
    <row r="568" spans="1:18" hidden="1" x14ac:dyDescent="0.25">
      <c r="A568" s="3">
        <f t="shared" si="37"/>
        <v>44761.568038773148</v>
      </c>
      <c r="B568" s="8" t="str">
        <f t="shared" si="38"/>
        <v>←</v>
      </c>
      <c r="C568" s="11">
        <f t="shared" si="39"/>
        <v>0.16700000000000001</v>
      </c>
      <c r="D568" s="2">
        <v>1658201878550</v>
      </c>
      <c r="E568" t="s">
        <v>0</v>
      </c>
      <c r="F568" s="1">
        <v>9</v>
      </c>
      <c r="G568" s="1">
        <v>31</v>
      </c>
      <c r="H568" s="1">
        <v>21</v>
      </c>
      <c r="I568" s="1">
        <v>5</v>
      </c>
      <c r="J568" s="1">
        <v>0</v>
      </c>
      <c r="K568" s="1">
        <v>23</v>
      </c>
      <c r="L568" s="1">
        <v>0</v>
      </c>
      <c r="M568" s="1">
        <v>0</v>
      </c>
      <c r="N568" s="1" t="s">
        <v>8</v>
      </c>
      <c r="O568" s="1">
        <v>20</v>
      </c>
      <c r="R568" t="str">
        <f t="shared" si="36"/>
        <v>FURNACE STATUS REPORT Fan:1 Ignition:1 Burner:0 Unknown:20</v>
      </c>
    </row>
    <row r="569" spans="1:18" hidden="1" x14ac:dyDescent="0.25">
      <c r="A569" s="3">
        <f t="shared" si="37"/>
        <v>44761.56803978009</v>
      </c>
      <c r="B569" s="8" t="str">
        <f t="shared" si="38"/>
        <v>→</v>
      </c>
      <c r="C569" s="11">
        <f t="shared" si="39"/>
        <v>8.6999999999999994E-2</v>
      </c>
      <c r="D569" s="2">
        <v>1658201878637</v>
      </c>
      <c r="E569" t="s">
        <v>0</v>
      </c>
      <c r="F569" s="1">
        <v>5</v>
      </c>
      <c r="G569" s="1">
        <v>21</v>
      </c>
      <c r="H569" s="1">
        <v>31</v>
      </c>
      <c r="I569" s="1" t="s">
        <v>6</v>
      </c>
      <c r="J569" s="1">
        <v>62</v>
      </c>
      <c r="K569" s="1">
        <v>95</v>
      </c>
      <c r="R569" t="str">
        <f t="shared" si="36"/>
        <v>Ack</v>
      </c>
    </row>
    <row r="570" spans="1:18" hidden="1" x14ac:dyDescent="0.25">
      <c r="A570" s="3">
        <f t="shared" si="37"/>
        <v>44761.568513865735</v>
      </c>
      <c r="B570" s="8" t="str">
        <f t="shared" si="38"/>
        <v>→</v>
      </c>
      <c r="C570" s="11">
        <f t="shared" si="39"/>
        <v>40.960999999999999</v>
      </c>
      <c r="D570" s="2">
        <v>1658201919598</v>
      </c>
      <c r="E570" t="s">
        <v>0</v>
      </c>
      <c r="F570" s="1">
        <v>8</v>
      </c>
      <c r="G570" s="1">
        <v>21</v>
      </c>
      <c r="H570" s="1">
        <v>31</v>
      </c>
      <c r="I570" s="1">
        <v>7</v>
      </c>
      <c r="J570" s="1" t="s">
        <v>70</v>
      </c>
      <c r="K570" s="1">
        <v>21</v>
      </c>
      <c r="L570" s="1">
        <v>1</v>
      </c>
      <c r="M570" s="1">
        <v>52</v>
      </c>
      <c r="N570" s="1" t="s">
        <v>109</v>
      </c>
      <c r="R570" t="str">
        <f t="shared" si="36"/>
        <v>TIME 13:33 Tue</v>
      </c>
    </row>
    <row r="571" spans="1:18" hidden="1" x14ac:dyDescent="0.25">
      <c r="A571" s="3">
        <f t="shared" si="37"/>
        <v>44761.568515173603</v>
      </c>
      <c r="B571" s="8" t="str">
        <f t="shared" si="38"/>
        <v>←</v>
      </c>
      <c r="C571" s="11">
        <f t="shared" si="39"/>
        <v>0.113</v>
      </c>
      <c r="D571" s="2">
        <v>1658201919711</v>
      </c>
      <c r="E571" t="s">
        <v>0</v>
      </c>
      <c r="F571" s="1">
        <v>5</v>
      </c>
      <c r="G571" s="1">
        <v>31</v>
      </c>
      <c r="H571" s="1">
        <v>21</v>
      </c>
      <c r="I571" s="1" t="s">
        <v>6</v>
      </c>
      <c r="J571" s="1">
        <v>3</v>
      </c>
      <c r="K571" s="1" t="s">
        <v>7</v>
      </c>
      <c r="R571" t="str">
        <f t="shared" si="36"/>
        <v>Ack</v>
      </c>
    </row>
    <row r="572" spans="1:18" hidden="1" x14ac:dyDescent="0.25">
      <c r="A572" s="3">
        <f t="shared" si="37"/>
        <v>44761.568516851847</v>
      </c>
      <c r="B572" s="8" t="str">
        <f t="shared" si="38"/>
        <v>→</v>
      </c>
      <c r="C572" s="11">
        <f t="shared" si="39"/>
        <v>0.14499999999999999</v>
      </c>
      <c r="D572" s="2">
        <v>1658201919856</v>
      </c>
      <c r="E572" t="s">
        <v>0</v>
      </c>
      <c r="F572" s="1">
        <v>5</v>
      </c>
      <c r="G572" s="1">
        <v>21</v>
      </c>
      <c r="H572" s="1">
        <v>31</v>
      </c>
      <c r="I572" s="1">
        <v>9</v>
      </c>
      <c r="J572" s="1">
        <v>60</v>
      </c>
      <c r="K572" s="1" t="s">
        <v>11</v>
      </c>
      <c r="R572" t="str">
        <f t="shared" si="36"/>
        <v>PING FURNACE</v>
      </c>
    </row>
    <row r="573" spans="1:18" hidden="1" x14ac:dyDescent="0.25">
      <c r="A573" s="3">
        <f t="shared" si="37"/>
        <v>44761.568517939813</v>
      </c>
      <c r="B573" s="8" t="str">
        <f t="shared" si="38"/>
        <v>←</v>
      </c>
      <c r="C573" s="11">
        <f t="shared" si="39"/>
        <v>9.4E-2</v>
      </c>
      <c r="D573" s="2">
        <v>1658201919950</v>
      </c>
      <c r="E573" t="s">
        <v>0</v>
      </c>
      <c r="F573" s="1">
        <v>5</v>
      </c>
      <c r="G573" s="1">
        <v>31</v>
      </c>
      <c r="H573" s="1">
        <v>21</v>
      </c>
      <c r="I573" s="1" t="s">
        <v>6</v>
      </c>
      <c r="J573" s="1">
        <v>3</v>
      </c>
      <c r="K573" s="1" t="s">
        <v>7</v>
      </c>
      <c r="R573" t="str">
        <f t="shared" si="36"/>
        <v>Ack</v>
      </c>
    </row>
    <row r="574" spans="1:18" hidden="1" x14ac:dyDescent="0.25">
      <c r="A574" s="3">
        <f t="shared" si="37"/>
        <v>44761.568519780085</v>
      </c>
      <c r="B574" s="8" t="str">
        <f t="shared" si="38"/>
        <v>→</v>
      </c>
      <c r="C574" s="11">
        <f t="shared" si="39"/>
        <v>0.159</v>
      </c>
      <c r="D574" s="2">
        <v>1658201920109</v>
      </c>
      <c r="E574" t="s">
        <v>0</v>
      </c>
      <c r="F574" s="1" t="s">
        <v>3</v>
      </c>
      <c r="G574" s="1">
        <v>21</v>
      </c>
      <c r="H574" s="1">
        <v>31</v>
      </c>
      <c r="I574" s="1" t="s">
        <v>3</v>
      </c>
      <c r="J574" s="1">
        <v>0</v>
      </c>
      <c r="K574" s="1">
        <v>12</v>
      </c>
      <c r="L574" s="1">
        <v>25</v>
      </c>
      <c r="M574" s="1">
        <v>1</v>
      </c>
      <c r="N574" s="1" t="s">
        <v>65</v>
      </c>
      <c r="O574" s="1">
        <v>0</v>
      </c>
      <c r="P574" s="1" t="s">
        <v>114</v>
      </c>
      <c r="Q574" s="1">
        <v>88</v>
      </c>
      <c r="R574" t="str">
        <f t="shared" si="36"/>
        <v>TEMPERATURE INFO Set:18 Actual:18.5 Countdown:140</v>
      </c>
    </row>
    <row r="575" spans="1:18" hidden="1" x14ac:dyDescent="0.25">
      <c r="A575" s="3">
        <f t="shared" si="37"/>
        <v>44761.568521168978</v>
      </c>
      <c r="B575" s="8" t="str">
        <f t="shared" si="38"/>
        <v>←</v>
      </c>
      <c r="C575" s="11">
        <f t="shared" si="39"/>
        <v>0.12</v>
      </c>
      <c r="D575" s="2">
        <v>1658201920229</v>
      </c>
      <c r="E575" t="s">
        <v>0</v>
      </c>
      <c r="F575" s="1">
        <v>5</v>
      </c>
      <c r="G575" s="1">
        <v>31</v>
      </c>
      <c r="H575" s="1">
        <v>21</v>
      </c>
      <c r="I575" s="1" t="s">
        <v>6</v>
      </c>
      <c r="J575" s="1">
        <v>3</v>
      </c>
      <c r="K575" s="1" t="s">
        <v>7</v>
      </c>
      <c r="R575" t="str">
        <f t="shared" si="36"/>
        <v>Ack</v>
      </c>
    </row>
    <row r="576" spans="1:18" x14ac:dyDescent="0.25">
      <c r="A576" s="3">
        <f t="shared" si="37"/>
        <v>44761.568522337962</v>
      </c>
      <c r="B576" s="8" t="str">
        <f t="shared" si="38"/>
        <v>→</v>
      </c>
      <c r="C576" s="11">
        <f t="shared" si="39"/>
        <v>0.10100000000000001</v>
      </c>
      <c r="D576" s="2">
        <v>1658201920330</v>
      </c>
      <c r="E576" t="s">
        <v>0</v>
      </c>
      <c r="F576" s="1">
        <v>6</v>
      </c>
      <c r="G576" s="1">
        <v>21</v>
      </c>
      <c r="H576" s="1">
        <v>31</v>
      </c>
      <c r="I576" s="1">
        <v>29</v>
      </c>
      <c r="J576" s="1">
        <v>0</v>
      </c>
      <c r="K576" s="1" t="s">
        <v>13</v>
      </c>
      <c r="L576" s="1" t="s">
        <v>14</v>
      </c>
      <c r="R576" t="str">
        <f t="shared" si="36"/>
        <v>LONG PING FURNACE</v>
      </c>
    </row>
    <row r="577" spans="1:18" hidden="1" x14ac:dyDescent="0.25">
      <c r="A577" s="3">
        <f t="shared" si="37"/>
        <v>44761.568523969901</v>
      </c>
      <c r="B577" s="8" t="str">
        <f t="shared" si="38"/>
        <v>←</v>
      </c>
      <c r="C577" s="11">
        <f t="shared" si="39"/>
        <v>0.14099999999999999</v>
      </c>
      <c r="D577" s="2">
        <v>1658201920471</v>
      </c>
      <c r="E577" t="s">
        <v>0</v>
      </c>
      <c r="F577" s="1">
        <v>5</v>
      </c>
      <c r="G577" s="1">
        <v>31</v>
      </c>
      <c r="H577" s="1">
        <v>21</v>
      </c>
      <c r="I577" s="1" t="s">
        <v>6</v>
      </c>
      <c r="J577" s="1">
        <v>3</v>
      </c>
      <c r="K577" s="1" t="s">
        <v>7</v>
      </c>
      <c r="R577" t="str">
        <f t="shared" si="36"/>
        <v>Ack</v>
      </c>
    </row>
    <row r="578" spans="1:18" hidden="1" x14ac:dyDescent="0.25">
      <c r="A578" s="3">
        <f t="shared" si="37"/>
        <v>44761.568525104165</v>
      </c>
      <c r="B578" s="8" t="str">
        <f t="shared" si="38"/>
        <v>→</v>
      </c>
      <c r="C578" s="11">
        <f t="shared" si="39"/>
        <v>9.8000000000000004E-2</v>
      </c>
      <c r="D578" s="2">
        <v>1658201920569</v>
      </c>
      <c r="E578" t="s">
        <v>0</v>
      </c>
      <c r="F578" s="1">
        <v>5</v>
      </c>
      <c r="G578" s="1">
        <v>21</v>
      </c>
      <c r="H578" s="1">
        <v>31</v>
      </c>
      <c r="I578" s="1">
        <v>6</v>
      </c>
      <c r="J578" s="1">
        <v>60</v>
      </c>
      <c r="K578" s="1">
        <v>83</v>
      </c>
      <c r="R578" t="str">
        <f t="shared" si="36"/>
        <v>FURNACE STATUS REQUEST</v>
      </c>
    </row>
    <row r="579" spans="1:18" hidden="1" x14ac:dyDescent="0.25">
      <c r="A579" s="3">
        <f t="shared" si="37"/>
        <v>44761.568526886571</v>
      </c>
      <c r="B579" s="8" t="str">
        <f t="shared" si="38"/>
        <v>←</v>
      </c>
      <c r="C579" s="11">
        <f t="shared" si="39"/>
        <v>0.154</v>
      </c>
      <c r="D579" s="2">
        <v>1658201920723</v>
      </c>
      <c r="E579" t="s">
        <v>0</v>
      </c>
      <c r="F579" s="1">
        <v>9</v>
      </c>
      <c r="G579" s="1">
        <v>31</v>
      </c>
      <c r="H579" s="1">
        <v>21</v>
      </c>
      <c r="I579" s="1" t="s">
        <v>1</v>
      </c>
      <c r="J579" s="1">
        <v>0</v>
      </c>
      <c r="K579" s="1">
        <v>23</v>
      </c>
      <c r="L579" s="1">
        <v>0</v>
      </c>
      <c r="M579" s="1">
        <v>0</v>
      </c>
      <c r="N579" s="1">
        <v>71</v>
      </c>
      <c r="O579" s="1">
        <v>73</v>
      </c>
      <c r="R579" t="str">
        <f t="shared" ref="R579:R642" si="40">IF(E579="Ok",_xlfn.SWITCH(I579,5,"FURNACE STATUS REPORT Fan:"&amp;IF(_xlfn.BITAND(HEX2DEC(K579),1),"1","0")&amp;" Ignition:"&amp;IF(_xlfn.BITAND(HEX2DEC(K579),2),"1","0")&amp;" Burner:"&amp;IF(_xlfn.BITAND(HEX2DEC(K579),4),"1","0")&amp;" Unknown:"&amp;DEC2HEX(_xlfn.BITAND(HEX2DEC(K579),248)),6,"FURNACE STATUS REQUEST",7,"TIME "&amp;HEX2DEC(J579)&amp;":"&amp;HEX2DEC(K579)&amp;" "&amp;CHOOSE(L579+1,"Mon","Tue","Wed","Thu","Fri","Sat","Sun"),9,"PING FURNACE","0B","TEMPERATURE INFO Set:"&amp;HEX2DEC(K579)&amp;" Actual:"&amp;HEX2DEC(L579)/2&amp;" Countdown:"&amp;HEX2DEC(N579),29,"LONG PING FURNACE","FB","FURNACE STATUS RESPONSE Fan:"&amp;IF(_xlfn.BITAND(HEX2DEC(K579),1),"1","0")&amp;" Ignition:"&amp;IF(_xlfn.BITAND(HEX2DEC(K579),2),"1","0")&amp;" Burner:"&amp;IF(_xlfn.BITAND(HEX2DEC(K579),4),"1","0")&amp;" Unknown:"&amp;DEC2HEX(_xlfn.BITAND(HEX2DEC(K579),248)),"FF","Ack"),"")</f>
        <v>FURNACE STATUS RESPONSE Fan:1 Ignition:1 Burner:0 Unknown:20</v>
      </c>
    </row>
    <row r="580" spans="1:18" hidden="1" x14ac:dyDescent="0.25">
      <c r="A580" s="3">
        <f t="shared" si="37"/>
        <v>44761.5686928125</v>
      </c>
      <c r="B580" s="8" t="str">
        <f t="shared" si="38"/>
        <v>←</v>
      </c>
      <c r="C580" s="11">
        <f t="shared" si="39"/>
        <v>14.336</v>
      </c>
      <c r="D580" s="2">
        <v>1658201935059</v>
      </c>
      <c r="E580" t="s">
        <v>0</v>
      </c>
      <c r="F580" s="1">
        <v>9</v>
      </c>
      <c r="G580" s="1">
        <v>31</v>
      </c>
      <c r="H580" s="1">
        <v>21</v>
      </c>
      <c r="I580" s="1">
        <v>5</v>
      </c>
      <c r="J580" s="1">
        <v>0</v>
      </c>
      <c r="K580" s="1">
        <v>1</v>
      </c>
      <c r="L580" s="1">
        <v>0</v>
      </c>
      <c r="M580" s="1">
        <v>0</v>
      </c>
      <c r="N580" s="1" t="s">
        <v>15</v>
      </c>
      <c r="O580" s="1">
        <v>88</v>
      </c>
      <c r="R580" t="str">
        <f t="shared" si="40"/>
        <v>FURNACE STATUS REPORT Fan:1 Ignition:0 Burner:0 Unknown:0</v>
      </c>
    </row>
    <row r="581" spans="1:18" hidden="1" x14ac:dyDescent="0.25">
      <c r="A581" s="3">
        <f t="shared" si="37"/>
        <v>44761.56869378472</v>
      </c>
      <c r="B581" s="8" t="str">
        <f t="shared" si="38"/>
        <v>→</v>
      </c>
      <c r="C581" s="11">
        <f t="shared" si="39"/>
        <v>8.4000000000000005E-2</v>
      </c>
      <c r="D581" s="2">
        <v>1658201935143</v>
      </c>
      <c r="E581" t="s">
        <v>0</v>
      </c>
      <c r="F581" s="1">
        <v>5</v>
      </c>
      <c r="G581" s="1">
        <v>21</v>
      </c>
      <c r="H581" s="1">
        <v>31</v>
      </c>
      <c r="I581" s="1" t="s">
        <v>6</v>
      </c>
      <c r="J581" s="1">
        <v>62</v>
      </c>
      <c r="K581" s="1">
        <v>95</v>
      </c>
      <c r="R581" t="str">
        <f t="shared" si="40"/>
        <v>Ack</v>
      </c>
    </row>
    <row r="582" spans="1:18" hidden="1" x14ac:dyDescent="0.25">
      <c r="A582" s="3">
        <f t="shared" si="37"/>
        <v>44761.56898034722</v>
      </c>
      <c r="B582" s="8" t="str">
        <f t="shared" si="38"/>
        <v>←</v>
      </c>
      <c r="C582" s="11">
        <f t="shared" si="39"/>
        <v>24.759</v>
      </c>
      <c r="D582" s="2">
        <v>1658201959902</v>
      </c>
      <c r="E582" t="s">
        <v>0</v>
      </c>
      <c r="F582" s="1">
        <v>9</v>
      </c>
      <c r="G582" s="1">
        <v>31</v>
      </c>
      <c r="H582" s="1">
        <v>21</v>
      </c>
      <c r="I582" s="1">
        <v>5</v>
      </c>
      <c r="J582" s="1">
        <v>0</v>
      </c>
      <c r="K582" s="1">
        <v>0</v>
      </c>
      <c r="L582" s="1">
        <v>0</v>
      </c>
      <c r="M582" s="1">
        <v>0</v>
      </c>
      <c r="N582" s="1" t="s">
        <v>19</v>
      </c>
      <c r="O582" s="1" t="s">
        <v>20</v>
      </c>
      <c r="R582" t="str">
        <f t="shared" si="40"/>
        <v>FURNACE STATUS REPORT Fan:0 Ignition:0 Burner:0 Unknown:0</v>
      </c>
    </row>
    <row r="583" spans="1:18" hidden="1" x14ac:dyDescent="0.25">
      <c r="A583" s="3">
        <f t="shared" si="37"/>
        <v>44761.568981203702</v>
      </c>
      <c r="B583" s="8" t="str">
        <f t="shared" si="38"/>
        <v>→</v>
      </c>
      <c r="C583" s="11">
        <f t="shared" si="39"/>
        <v>7.3999999999999996E-2</v>
      </c>
      <c r="D583" s="2">
        <v>1658201959976</v>
      </c>
      <c r="E583" t="s">
        <v>0</v>
      </c>
      <c r="F583" s="1">
        <v>5</v>
      </c>
      <c r="G583" s="1">
        <v>21</v>
      </c>
      <c r="H583" s="1">
        <v>31</v>
      </c>
      <c r="I583" s="1" t="s">
        <v>6</v>
      </c>
      <c r="J583" s="1">
        <v>62</v>
      </c>
      <c r="K583" s="1">
        <v>95</v>
      </c>
      <c r="R583" t="str">
        <f t="shared" si="40"/>
        <v>Ack</v>
      </c>
    </row>
    <row r="584" spans="1:18" hidden="1" x14ac:dyDescent="0.25">
      <c r="A584" s="3">
        <f t="shared" si="37"/>
        <v>44761.569208425928</v>
      </c>
      <c r="B584" s="8" t="str">
        <f t="shared" si="38"/>
        <v>→</v>
      </c>
      <c r="C584" s="11">
        <f t="shared" si="39"/>
        <v>19.632000000000001</v>
      </c>
      <c r="D584" s="2">
        <v>1658201979608</v>
      </c>
      <c r="E584" t="s">
        <v>0</v>
      </c>
      <c r="F584" s="1">
        <v>8</v>
      </c>
      <c r="G584" s="1">
        <v>21</v>
      </c>
      <c r="H584" s="1">
        <v>31</v>
      </c>
      <c r="I584" s="1">
        <v>7</v>
      </c>
      <c r="J584" s="1" t="s">
        <v>70</v>
      </c>
      <c r="K584" s="1">
        <v>22</v>
      </c>
      <c r="L584" s="1">
        <v>1</v>
      </c>
      <c r="M584" s="1">
        <v>58</v>
      </c>
      <c r="N584" s="1" t="s">
        <v>109</v>
      </c>
      <c r="R584" t="str">
        <f t="shared" si="40"/>
        <v>TIME 13:34 Tue</v>
      </c>
    </row>
    <row r="585" spans="1:18" hidden="1" x14ac:dyDescent="0.25">
      <c r="A585" s="3">
        <f t="shared" si="37"/>
        <v>44761.569209594905</v>
      </c>
      <c r="B585" s="8" t="str">
        <f t="shared" si="38"/>
        <v>←</v>
      </c>
      <c r="C585" s="11">
        <f t="shared" si="39"/>
        <v>0.10100000000000001</v>
      </c>
      <c r="D585" s="2">
        <v>1658201979709</v>
      </c>
      <c r="E585" t="s">
        <v>0</v>
      </c>
      <c r="F585" s="1">
        <v>5</v>
      </c>
      <c r="G585" s="1">
        <v>31</v>
      </c>
      <c r="H585" s="1">
        <v>21</v>
      </c>
      <c r="I585" s="1" t="s">
        <v>6</v>
      </c>
      <c r="J585" s="1">
        <v>3</v>
      </c>
      <c r="K585" s="1" t="s">
        <v>7</v>
      </c>
      <c r="R585" t="str">
        <f t="shared" si="40"/>
        <v>Ack</v>
      </c>
    </row>
    <row r="586" spans="1:18" hidden="1" x14ac:dyDescent="0.25">
      <c r="A586" s="3">
        <f t="shared" si="37"/>
        <v>44761.569210844908</v>
      </c>
      <c r="B586" s="8" t="str">
        <f t="shared" si="38"/>
        <v>→</v>
      </c>
      <c r="C586" s="11">
        <f t="shared" si="39"/>
        <v>0.108</v>
      </c>
      <c r="D586" s="2">
        <v>1658201979817</v>
      </c>
      <c r="E586" t="s">
        <v>0</v>
      </c>
      <c r="F586" s="1">
        <v>5</v>
      </c>
      <c r="G586" s="1">
        <v>21</v>
      </c>
      <c r="H586" s="1">
        <v>31</v>
      </c>
      <c r="I586" s="1">
        <v>9</v>
      </c>
      <c r="J586" s="1">
        <v>60</v>
      </c>
      <c r="K586" s="1" t="s">
        <v>11</v>
      </c>
      <c r="R586" t="str">
        <f t="shared" si="40"/>
        <v>PING FURNACE</v>
      </c>
    </row>
    <row r="587" spans="1:18" hidden="1" x14ac:dyDescent="0.25">
      <c r="A587" s="3">
        <f t="shared" si="37"/>
        <v>44761.569212106479</v>
      </c>
      <c r="B587" s="8" t="str">
        <f t="shared" si="38"/>
        <v>←</v>
      </c>
      <c r="C587" s="11">
        <f t="shared" si="39"/>
        <v>0.109</v>
      </c>
      <c r="D587" s="2">
        <v>1658201979926</v>
      </c>
      <c r="E587" t="s">
        <v>0</v>
      </c>
      <c r="F587" s="1">
        <v>5</v>
      </c>
      <c r="G587" s="1">
        <v>31</v>
      </c>
      <c r="H587" s="1">
        <v>21</v>
      </c>
      <c r="I587" s="1" t="s">
        <v>6</v>
      </c>
      <c r="J587" s="1">
        <v>3</v>
      </c>
      <c r="K587" s="1" t="s">
        <v>7</v>
      </c>
      <c r="R587" t="str">
        <f t="shared" si="40"/>
        <v>Ack</v>
      </c>
    </row>
    <row r="588" spans="1:18" hidden="1" x14ac:dyDescent="0.25">
      <c r="A588" s="3">
        <f t="shared" si="37"/>
        <v>44761.569213888892</v>
      </c>
      <c r="B588" s="8" t="str">
        <f t="shared" si="38"/>
        <v>→</v>
      </c>
      <c r="C588" s="11">
        <f t="shared" si="39"/>
        <v>0.154</v>
      </c>
      <c r="D588" s="2">
        <v>1658201980080</v>
      </c>
      <c r="E588" t="s">
        <v>0</v>
      </c>
      <c r="F588" s="1" t="s">
        <v>3</v>
      </c>
      <c r="G588" s="1">
        <v>21</v>
      </c>
      <c r="H588" s="1">
        <v>31</v>
      </c>
      <c r="I588" s="1" t="s">
        <v>3</v>
      </c>
      <c r="J588" s="1">
        <v>0</v>
      </c>
      <c r="K588" s="1">
        <v>12</v>
      </c>
      <c r="L588" s="1">
        <v>25</v>
      </c>
      <c r="M588" s="1">
        <v>1</v>
      </c>
      <c r="N588" s="1">
        <v>50</v>
      </c>
      <c r="O588" s="1">
        <v>0</v>
      </c>
      <c r="P588" s="1">
        <v>52</v>
      </c>
      <c r="Q588" s="1">
        <v>84</v>
      </c>
      <c r="R588" t="str">
        <f t="shared" si="40"/>
        <v>TEMPERATURE INFO Set:18 Actual:18.5 Countdown:80</v>
      </c>
    </row>
    <row r="589" spans="1:18" hidden="1" x14ac:dyDescent="0.25">
      <c r="A589" s="3">
        <f t="shared" si="37"/>
        <v>44761.569215254633</v>
      </c>
      <c r="B589" s="8" t="str">
        <f t="shared" si="38"/>
        <v>←</v>
      </c>
      <c r="C589" s="11">
        <f t="shared" si="39"/>
        <v>0.11799999999999999</v>
      </c>
      <c r="D589" s="2">
        <v>1658201980198</v>
      </c>
      <c r="E589" t="s">
        <v>0</v>
      </c>
      <c r="F589" s="1">
        <v>5</v>
      </c>
      <c r="G589" s="1">
        <v>31</v>
      </c>
      <c r="H589" s="1">
        <v>21</v>
      </c>
      <c r="I589" s="1" t="s">
        <v>6</v>
      </c>
      <c r="J589" s="1">
        <v>3</v>
      </c>
      <c r="K589" s="1" t="s">
        <v>7</v>
      </c>
      <c r="R589" t="str">
        <f t="shared" si="40"/>
        <v>Ack</v>
      </c>
    </row>
    <row r="590" spans="1:18" x14ac:dyDescent="0.25">
      <c r="A590" s="3">
        <f t="shared" si="37"/>
        <v>44761.569216400465</v>
      </c>
      <c r="B590" s="8" t="str">
        <f t="shared" si="38"/>
        <v>→</v>
      </c>
      <c r="C590" s="11">
        <f t="shared" si="39"/>
        <v>9.9000000000000005E-2</v>
      </c>
      <c r="D590" s="2">
        <v>1658201980297</v>
      </c>
      <c r="E590" t="s">
        <v>0</v>
      </c>
      <c r="F590" s="1">
        <v>6</v>
      </c>
      <c r="G590" s="1">
        <v>21</v>
      </c>
      <c r="H590" s="1">
        <v>31</v>
      </c>
      <c r="I590" s="1">
        <v>29</v>
      </c>
      <c r="J590" s="1">
        <v>0</v>
      </c>
      <c r="K590" s="1" t="s">
        <v>13</v>
      </c>
      <c r="L590" s="1" t="s">
        <v>14</v>
      </c>
      <c r="R590" t="str">
        <f t="shared" si="40"/>
        <v>LONG PING FURNACE</v>
      </c>
    </row>
    <row r="591" spans="1:18" hidden="1" x14ac:dyDescent="0.25">
      <c r="A591" s="3">
        <f t="shared" si="37"/>
        <v>44761.56921804398</v>
      </c>
      <c r="B591" s="8" t="str">
        <f t="shared" si="38"/>
        <v>←</v>
      </c>
      <c r="C591" s="11">
        <f t="shared" si="39"/>
        <v>0.14199999999999999</v>
      </c>
      <c r="D591" s="2">
        <v>1658201980439</v>
      </c>
      <c r="E591" t="s">
        <v>0</v>
      </c>
      <c r="F591" s="1">
        <v>5</v>
      </c>
      <c r="G591" s="1">
        <v>31</v>
      </c>
      <c r="H591" s="1">
        <v>21</v>
      </c>
      <c r="I591" s="1" t="s">
        <v>6</v>
      </c>
      <c r="J591" s="1">
        <v>3</v>
      </c>
      <c r="K591" s="1" t="s">
        <v>7</v>
      </c>
      <c r="R591" t="str">
        <f t="shared" si="40"/>
        <v>Ack</v>
      </c>
    </row>
    <row r="592" spans="1:18" hidden="1" x14ac:dyDescent="0.25">
      <c r="A592" s="3">
        <f t="shared" si="37"/>
        <v>44761.569218900462</v>
      </c>
      <c r="B592" s="8" t="str">
        <f t="shared" si="38"/>
        <v>→</v>
      </c>
      <c r="C592" s="11">
        <f t="shared" si="39"/>
        <v>7.3999999999999996E-2</v>
      </c>
      <c r="D592" s="2">
        <v>1658201980513</v>
      </c>
      <c r="E592" t="s">
        <v>0</v>
      </c>
      <c r="F592" s="1">
        <v>5</v>
      </c>
      <c r="G592" s="1">
        <v>21</v>
      </c>
      <c r="H592" s="1">
        <v>31</v>
      </c>
      <c r="I592" s="1">
        <v>6</v>
      </c>
      <c r="J592" s="1">
        <v>60</v>
      </c>
      <c r="K592" s="1">
        <v>83</v>
      </c>
      <c r="R592" t="str">
        <f t="shared" si="40"/>
        <v>FURNACE STATUS REQUEST</v>
      </c>
    </row>
    <row r="593" spans="1:18" hidden="1" x14ac:dyDescent="0.25">
      <c r="A593" s="3">
        <f t="shared" si="37"/>
        <v>44761.56922085648</v>
      </c>
      <c r="B593" s="8" t="str">
        <f t="shared" si="38"/>
        <v>←</v>
      </c>
      <c r="C593" s="11">
        <f t="shared" si="39"/>
        <v>0.16900000000000001</v>
      </c>
      <c r="D593" s="2">
        <v>1658201980682</v>
      </c>
      <c r="E593" t="s">
        <v>0</v>
      </c>
      <c r="F593" s="1">
        <v>9</v>
      </c>
      <c r="G593" s="1">
        <v>31</v>
      </c>
      <c r="H593" s="1">
        <v>21</v>
      </c>
      <c r="I593" s="1" t="s">
        <v>1</v>
      </c>
      <c r="J593" s="1">
        <v>0</v>
      </c>
      <c r="K593" s="1">
        <v>0</v>
      </c>
      <c r="L593" s="1">
        <v>0</v>
      </c>
      <c r="M593" s="1">
        <v>0</v>
      </c>
      <c r="N593" s="1" t="s">
        <v>21</v>
      </c>
      <c r="O593" s="1" t="s">
        <v>22</v>
      </c>
      <c r="R593" t="str">
        <f t="shared" si="40"/>
        <v>FURNACE STATUS RESPONSE Fan:0 Ignition:0 Burner:0 Unknown:0</v>
      </c>
    </row>
    <row r="594" spans="1:18" hidden="1" x14ac:dyDescent="0.25">
      <c r="A594" s="3">
        <f t="shared" si="37"/>
        <v>44761.569903020827</v>
      </c>
      <c r="B594" s="8" t="str">
        <f t="shared" si="38"/>
        <v>→</v>
      </c>
      <c r="C594" s="11">
        <f t="shared" si="39"/>
        <v>58.939</v>
      </c>
      <c r="D594" s="2">
        <v>1658202039621</v>
      </c>
      <c r="E594" t="s">
        <v>0</v>
      </c>
      <c r="F594" s="1">
        <v>8</v>
      </c>
      <c r="G594" s="1">
        <v>21</v>
      </c>
      <c r="H594" s="1">
        <v>31</v>
      </c>
      <c r="I594" s="1">
        <v>7</v>
      </c>
      <c r="J594" s="1" t="s">
        <v>70</v>
      </c>
      <c r="K594" s="1">
        <v>23</v>
      </c>
      <c r="L594" s="1">
        <v>1</v>
      </c>
      <c r="M594" s="1" t="s">
        <v>40</v>
      </c>
      <c r="N594" s="1" t="s">
        <v>57</v>
      </c>
      <c r="R594" t="str">
        <f t="shared" si="40"/>
        <v>TIME 13:35 Tue</v>
      </c>
    </row>
    <row r="595" spans="1:18" hidden="1" x14ac:dyDescent="0.25">
      <c r="A595" s="3">
        <f t="shared" si="37"/>
        <v>44761.569904398144</v>
      </c>
      <c r="B595" s="8" t="str">
        <f t="shared" si="38"/>
        <v>←</v>
      </c>
      <c r="C595" s="11">
        <f t="shared" si="39"/>
        <v>0.11899999999999999</v>
      </c>
      <c r="D595" s="2">
        <v>1658202039740</v>
      </c>
      <c r="E595" t="s">
        <v>0</v>
      </c>
      <c r="F595" s="1">
        <v>5</v>
      </c>
      <c r="G595" s="1">
        <v>31</v>
      </c>
      <c r="H595" s="1">
        <v>21</v>
      </c>
      <c r="I595" s="1" t="s">
        <v>6</v>
      </c>
      <c r="J595" s="1">
        <v>3</v>
      </c>
      <c r="K595" s="1" t="s">
        <v>7</v>
      </c>
      <c r="R595" t="str">
        <f t="shared" si="40"/>
        <v>Ack</v>
      </c>
    </row>
    <row r="596" spans="1:18" hidden="1" x14ac:dyDescent="0.25">
      <c r="A596" s="3">
        <f t="shared" si="37"/>
        <v>44761.569906249999</v>
      </c>
      <c r="B596" s="8" t="str">
        <f t="shared" si="38"/>
        <v>→</v>
      </c>
      <c r="C596" s="11">
        <f t="shared" si="39"/>
        <v>0.16</v>
      </c>
      <c r="D596" s="2">
        <v>1658202039900</v>
      </c>
      <c r="E596" t="s">
        <v>0</v>
      </c>
      <c r="F596" s="1">
        <v>5</v>
      </c>
      <c r="G596" s="1">
        <v>21</v>
      </c>
      <c r="H596" s="1">
        <v>31</v>
      </c>
      <c r="I596" s="1">
        <v>9</v>
      </c>
      <c r="J596" s="1">
        <v>60</v>
      </c>
      <c r="K596" s="1" t="s">
        <v>11</v>
      </c>
      <c r="R596" t="str">
        <f t="shared" si="40"/>
        <v>PING FURNACE</v>
      </c>
    </row>
    <row r="597" spans="1:18" hidden="1" x14ac:dyDescent="0.25">
      <c r="A597" s="3">
        <f t="shared" si="37"/>
        <v>44761.569907141202</v>
      </c>
      <c r="B597" s="8" t="str">
        <f t="shared" si="38"/>
        <v>←</v>
      </c>
      <c r="C597" s="11">
        <f t="shared" si="39"/>
        <v>7.6999999999999999E-2</v>
      </c>
      <c r="D597" s="2">
        <v>1658202039977</v>
      </c>
      <c r="E597" t="s">
        <v>0</v>
      </c>
      <c r="F597" s="1">
        <v>5</v>
      </c>
      <c r="G597" s="1">
        <v>31</v>
      </c>
      <c r="H597" s="1">
        <v>21</v>
      </c>
      <c r="I597" s="1" t="s">
        <v>6</v>
      </c>
      <c r="J597" s="1">
        <v>3</v>
      </c>
      <c r="K597" s="1" t="s">
        <v>7</v>
      </c>
      <c r="R597" t="str">
        <f t="shared" si="40"/>
        <v>Ack</v>
      </c>
    </row>
    <row r="598" spans="1:18" hidden="1" x14ac:dyDescent="0.25">
      <c r="A598" s="3">
        <f t="shared" si="37"/>
        <v>44761.569908796293</v>
      </c>
      <c r="B598" s="8" t="str">
        <f t="shared" si="38"/>
        <v>→</v>
      </c>
      <c r="C598" s="11">
        <f t="shared" si="39"/>
        <v>0.14299999999999999</v>
      </c>
      <c r="D598" s="2">
        <v>1658202040120</v>
      </c>
      <c r="E598" t="s">
        <v>0</v>
      </c>
      <c r="F598" s="1" t="s">
        <v>3</v>
      </c>
      <c r="G598" s="1">
        <v>21</v>
      </c>
      <c r="H598" s="1">
        <v>31</v>
      </c>
      <c r="I598" s="1" t="s">
        <v>3</v>
      </c>
      <c r="J598" s="1">
        <v>0</v>
      </c>
      <c r="K598" s="1">
        <v>12</v>
      </c>
      <c r="L598" s="1">
        <v>25</v>
      </c>
      <c r="M598" s="1">
        <v>1</v>
      </c>
      <c r="N598" s="1">
        <v>14</v>
      </c>
      <c r="O598" s="1">
        <v>0</v>
      </c>
      <c r="P598" s="1" t="s">
        <v>94</v>
      </c>
      <c r="Q598" s="1">
        <v>81</v>
      </c>
      <c r="R598" t="str">
        <f t="shared" si="40"/>
        <v>TEMPERATURE INFO Set:18 Actual:18.5 Countdown:20</v>
      </c>
    </row>
    <row r="599" spans="1:18" hidden="1" x14ac:dyDescent="0.25">
      <c r="A599" s="3">
        <f t="shared" si="37"/>
        <v>44761.569910416663</v>
      </c>
      <c r="B599" s="8" t="str">
        <f t="shared" si="38"/>
        <v>←</v>
      </c>
      <c r="C599" s="11">
        <f t="shared" si="39"/>
        <v>0.14000000000000001</v>
      </c>
      <c r="D599" s="2">
        <v>1658202040260</v>
      </c>
      <c r="E599" t="s">
        <v>0</v>
      </c>
      <c r="F599" s="1">
        <v>5</v>
      </c>
      <c r="G599" s="1">
        <v>31</v>
      </c>
      <c r="H599" s="1">
        <v>21</v>
      </c>
      <c r="I599" s="1" t="s">
        <v>6</v>
      </c>
      <c r="J599" s="1">
        <v>3</v>
      </c>
      <c r="K599" s="1" t="s">
        <v>7</v>
      </c>
      <c r="R599" t="str">
        <f t="shared" si="40"/>
        <v>Ack</v>
      </c>
    </row>
    <row r="600" spans="1:18" x14ac:dyDescent="0.25">
      <c r="A600" s="3">
        <f t="shared" si="37"/>
        <v>44761.569911516206</v>
      </c>
      <c r="B600" s="8" t="str">
        <f t="shared" si="38"/>
        <v>→</v>
      </c>
      <c r="C600" s="11">
        <f t="shared" si="39"/>
        <v>9.5000000000000001E-2</v>
      </c>
      <c r="D600" s="2">
        <v>1658202040355</v>
      </c>
      <c r="E600" t="s">
        <v>0</v>
      </c>
      <c r="F600" s="1">
        <v>6</v>
      </c>
      <c r="G600" s="1">
        <v>21</v>
      </c>
      <c r="H600" s="1">
        <v>31</v>
      </c>
      <c r="I600" s="1">
        <v>29</v>
      </c>
      <c r="J600" s="1">
        <v>0</v>
      </c>
      <c r="K600" s="1" t="s">
        <v>13</v>
      </c>
      <c r="L600" s="1" t="s">
        <v>14</v>
      </c>
      <c r="R600" t="str">
        <f t="shared" si="40"/>
        <v>LONG PING FURNACE</v>
      </c>
    </row>
    <row r="601" spans="1:18" hidden="1" x14ac:dyDescent="0.25">
      <c r="A601" s="3">
        <f t="shared" si="37"/>
        <v>44761.569912939813</v>
      </c>
      <c r="B601" s="8" t="str">
        <f t="shared" si="38"/>
        <v>←</v>
      </c>
      <c r="C601" s="11">
        <f t="shared" si="39"/>
        <v>0.123</v>
      </c>
      <c r="D601" s="2">
        <v>1658202040478</v>
      </c>
      <c r="E601" t="s">
        <v>0</v>
      </c>
      <c r="F601" s="1">
        <v>5</v>
      </c>
      <c r="G601" s="1">
        <v>31</v>
      </c>
      <c r="H601" s="1">
        <v>21</v>
      </c>
      <c r="I601" s="1" t="s">
        <v>6</v>
      </c>
      <c r="J601" s="1">
        <v>3</v>
      </c>
      <c r="K601" s="1" t="s">
        <v>7</v>
      </c>
      <c r="R601" t="str">
        <f t="shared" si="40"/>
        <v>Ack</v>
      </c>
    </row>
    <row r="602" spans="1:18" hidden="1" x14ac:dyDescent="0.25">
      <c r="A602" s="3">
        <f t="shared" si="37"/>
        <v>44761.569914074069</v>
      </c>
      <c r="B602" s="8" t="str">
        <f t="shared" si="38"/>
        <v>→</v>
      </c>
      <c r="C602" s="11">
        <f t="shared" si="39"/>
        <v>9.8000000000000004E-2</v>
      </c>
      <c r="D602" s="2">
        <v>1658202040576</v>
      </c>
      <c r="E602" t="s">
        <v>0</v>
      </c>
      <c r="F602" s="1">
        <v>5</v>
      </c>
      <c r="G602" s="1">
        <v>21</v>
      </c>
      <c r="H602" s="1">
        <v>31</v>
      </c>
      <c r="I602" s="1">
        <v>6</v>
      </c>
      <c r="J602" s="1">
        <v>60</v>
      </c>
      <c r="K602" s="1">
        <v>83</v>
      </c>
      <c r="R602" t="str">
        <f t="shared" si="40"/>
        <v>FURNACE STATUS REQUEST</v>
      </c>
    </row>
    <row r="603" spans="1:18" hidden="1" x14ac:dyDescent="0.25">
      <c r="A603" s="3">
        <f t="shared" si="37"/>
        <v>44761.569915810185</v>
      </c>
      <c r="B603" s="8" t="str">
        <f t="shared" si="38"/>
        <v>←</v>
      </c>
      <c r="C603" s="11">
        <f t="shared" si="39"/>
        <v>0.15</v>
      </c>
      <c r="D603" s="2">
        <v>1658202040726</v>
      </c>
      <c r="E603" t="s">
        <v>0</v>
      </c>
      <c r="F603" s="1">
        <v>9</v>
      </c>
      <c r="G603" s="1">
        <v>31</v>
      </c>
      <c r="H603" s="1">
        <v>21</v>
      </c>
      <c r="I603" s="1" t="s">
        <v>1</v>
      </c>
      <c r="J603" s="1">
        <v>0</v>
      </c>
      <c r="K603" s="1">
        <v>0</v>
      </c>
      <c r="L603" s="1">
        <v>0</v>
      </c>
      <c r="M603" s="1">
        <v>0</v>
      </c>
      <c r="N603" s="1" t="s">
        <v>21</v>
      </c>
      <c r="O603" s="1" t="s">
        <v>22</v>
      </c>
      <c r="R603" t="str">
        <f t="shared" si="40"/>
        <v>FURNACE STATUS RESPONSE Fan:0 Ignition:0 Burner:0 Unknown:0</v>
      </c>
    </row>
    <row r="604" spans="1:18" hidden="1" x14ac:dyDescent="0.25">
      <c r="A604" s="3">
        <f t="shared" si="37"/>
        <v>44761.570597268517</v>
      </c>
      <c r="B604" s="8" t="str">
        <f t="shared" si="38"/>
        <v>→</v>
      </c>
      <c r="C604" s="11">
        <f t="shared" si="39"/>
        <v>58.878</v>
      </c>
      <c r="D604" s="2">
        <v>1658202099604</v>
      </c>
      <c r="E604" t="s">
        <v>0</v>
      </c>
      <c r="F604" s="1">
        <v>8</v>
      </c>
      <c r="G604" s="1">
        <v>21</v>
      </c>
      <c r="H604" s="1">
        <v>31</v>
      </c>
      <c r="I604" s="1">
        <v>7</v>
      </c>
      <c r="J604" s="1" t="s">
        <v>70</v>
      </c>
      <c r="K604" s="1">
        <v>24</v>
      </c>
      <c r="L604" s="1">
        <v>1</v>
      </c>
      <c r="M604" s="1" t="s">
        <v>42</v>
      </c>
      <c r="N604" s="1" t="s">
        <v>109</v>
      </c>
      <c r="R604" t="str">
        <f t="shared" si="40"/>
        <v>TIME 13:36 Tue</v>
      </c>
    </row>
    <row r="605" spans="1:18" hidden="1" x14ac:dyDescent="0.25">
      <c r="A605" s="3">
        <f t="shared" si="37"/>
        <v>44761.570598495367</v>
      </c>
      <c r="B605" s="8" t="str">
        <f t="shared" si="38"/>
        <v>←</v>
      </c>
      <c r="C605" s="11">
        <f t="shared" si="39"/>
        <v>0.106</v>
      </c>
      <c r="D605" s="2">
        <v>1658202099710</v>
      </c>
      <c r="E605" t="s">
        <v>0</v>
      </c>
      <c r="F605" s="1">
        <v>5</v>
      </c>
      <c r="G605" s="1">
        <v>31</v>
      </c>
      <c r="H605" s="1">
        <v>21</v>
      </c>
      <c r="I605" s="1" t="s">
        <v>6</v>
      </c>
      <c r="J605" s="1">
        <v>3</v>
      </c>
      <c r="K605" s="1" t="s">
        <v>7</v>
      </c>
      <c r="R605" t="str">
        <f t="shared" si="40"/>
        <v>Ack</v>
      </c>
    </row>
    <row r="606" spans="1:18" hidden="1" x14ac:dyDescent="0.25">
      <c r="A606" s="3">
        <f t="shared" si="37"/>
        <v>44761.570599953702</v>
      </c>
      <c r="B606" s="8" t="str">
        <f t="shared" si="38"/>
        <v>→</v>
      </c>
      <c r="C606" s="11">
        <f t="shared" si="39"/>
        <v>0.126</v>
      </c>
      <c r="D606" s="2">
        <v>1658202099836</v>
      </c>
      <c r="E606" t="s">
        <v>0</v>
      </c>
      <c r="F606" s="1">
        <v>5</v>
      </c>
      <c r="G606" s="1">
        <v>21</v>
      </c>
      <c r="H606" s="1">
        <v>31</v>
      </c>
      <c r="I606" s="1">
        <v>9</v>
      </c>
      <c r="J606" s="1">
        <v>60</v>
      </c>
      <c r="K606" s="1" t="s">
        <v>11</v>
      </c>
      <c r="R606" t="str">
        <f t="shared" si="40"/>
        <v>PING FURNACE</v>
      </c>
    </row>
    <row r="607" spans="1:18" hidden="1" x14ac:dyDescent="0.25">
      <c r="A607" s="3">
        <f t="shared" si="37"/>
        <v>44761.570601319443</v>
      </c>
      <c r="B607" s="8" t="str">
        <f t="shared" si="38"/>
        <v>←</v>
      </c>
      <c r="C607" s="11">
        <f t="shared" si="39"/>
        <v>0.11799999999999999</v>
      </c>
      <c r="D607" s="2">
        <v>1658202099954</v>
      </c>
      <c r="E607" t="s">
        <v>0</v>
      </c>
      <c r="F607" s="1">
        <v>5</v>
      </c>
      <c r="G607" s="1">
        <v>31</v>
      </c>
      <c r="H607" s="1">
        <v>21</v>
      </c>
      <c r="I607" s="1" t="s">
        <v>6</v>
      </c>
      <c r="J607" s="1">
        <v>3</v>
      </c>
      <c r="K607" s="1" t="s">
        <v>7</v>
      </c>
      <c r="R607" t="str">
        <f t="shared" si="40"/>
        <v>Ack</v>
      </c>
    </row>
    <row r="608" spans="1:18" hidden="1" x14ac:dyDescent="0.25">
      <c r="A608" s="3">
        <f t="shared" si="37"/>
        <v>44761.57060313657</v>
      </c>
      <c r="B608" s="8" t="str">
        <f t="shared" si="38"/>
        <v>→</v>
      </c>
      <c r="C608" s="11">
        <f t="shared" si="39"/>
        <v>0.157</v>
      </c>
      <c r="D608" s="2">
        <v>1658202100111</v>
      </c>
      <c r="E608" t="s">
        <v>0</v>
      </c>
      <c r="F608" s="1" t="s">
        <v>3</v>
      </c>
      <c r="G608" s="1">
        <v>21</v>
      </c>
      <c r="H608" s="1">
        <v>31</v>
      </c>
      <c r="I608" s="1" t="s">
        <v>3</v>
      </c>
      <c r="J608" s="1">
        <v>0</v>
      </c>
      <c r="K608" s="1">
        <v>12</v>
      </c>
      <c r="L608" s="1">
        <v>25</v>
      </c>
      <c r="M608" s="1">
        <v>1</v>
      </c>
      <c r="N608" s="1">
        <v>0</v>
      </c>
      <c r="O608" s="1">
        <v>0</v>
      </c>
      <c r="P608" s="1">
        <v>32</v>
      </c>
      <c r="Q608" s="1">
        <v>81</v>
      </c>
      <c r="R608" t="str">
        <f t="shared" si="40"/>
        <v>TEMPERATURE INFO Set:18 Actual:18.5 Countdown:0</v>
      </c>
    </row>
    <row r="609" spans="1:18" hidden="1" x14ac:dyDescent="0.25">
      <c r="A609" s="3">
        <f t="shared" si="37"/>
        <v>44761.570604537039</v>
      </c>
      <c r="B609" s="8" t="str">
        <f t="shared" si="38"/>
        <v>←</v>
      </c>
      <c r="C609" s="11">
        <f t="shared" si="39"/>
        <v>0.121</v>
      </c>
      <c r="D609" s="2">
        <v>1658202100232</v>
      </c>
      <c r="E609" t="s">
        <v>0</v>
      </c>
      <c r="F609" s="1">
        <v>5</v>
      </c>
      <c r="G609" s="1">
        <v>31</v>
      </c>
      <c r="H609" s="1">
        <v>21</v>
      </c>
      <c r="I609" s="1" t="s">
        <v>6</v>
      </c>
      <c r="J609" s="1">
        <v>3</v>
      </c>
      <c r="K609" s="1" t="s">
        <v>7</v>
      </c>
      <c r="R609" t="str">
        <f t="shared" si="40"/>
        <v>Ack</v>
      </c>
    </row>
    <row r="610" spans="1:18" x14ac:dyDescent="0.25">
      <c r="A610" s="3">
        <f t="shared" ref="A610:A673" si="41">D610/(1000*60*60*24)+25569+10/24</f>
        <v>44761.570605972222</v>
      </c>
      <c r="B610" s="8" t="str">
        <f t="shared" ref="B610:B673" si="42">IF(AND(G610=21,H610=31),"→",IF(AND(G610=31,H610=21),"←","Error"))</f>
        <v>→</v>
      </c>
      <c r="C610" s="11">
        <f t="shared" ref="C610:C673" si="43">(D610-D609)/1000</f>
        <v>0.124</v>
      </c>
      <c r="D610" s="2">
        <v>1658202100356</v>
      </c>
      <c r="E610" t="s">
        <v>0</v>
      </c>
      <c r="F610" s="1">
        <v>6</v>
      </c>
      <c r="G610" s="1">
        <v>21</v>
      </c>
      <c r="H610" s="1">
        <v>31</v>
      </c>
      <c r="I610" s="1">
        <v>29</v>
      </c>
      <c r="J610" s="1">
        <v>0</v>
      </c>
      <c r="K610" s="1" t="s">
        <v>13</v>
      </c>
      <c r="L610" s="1" t="s">
        <v>14</v>
      </c>
      <c r="R610" t="str">
        <f t="shared" si="40"/>
        <v>LONG PING FURNACE</v>
      </c>
    </row>
    <row r="611" spans="1:18" hidden="1" x14ac:dyDescent="0.25">
      <c r="A611" s="3">
        <f t="shared" si="41"/>
        <v>44761.570607326386</v>
      </c>
      <c r="B611" s="8" t="str">
        <f t="shared" si="42"/>
        <v>←</v>
      </c>
      <c r="C611" s="11">
        <f t="shared" si="43"/>
        <v>0.11700000000000001</v>
      </c>
      <c r="D611" s="2">
        <v>1658202100473</v>
      </c>
      <c r="E611" t="s">
        <v>0</v>
      </c>
      <c r="F611" s="1">
        <v>5</v>
      </c>
      <c r="G611" s="1">
        <v>31</v>
      </c>
      <c r="H611" s="1">
        <v>21</v>
      </c>
      <c r="I611" s="1" t="s">
        <v>6</v>
      </c>
      <c r="J611" s="1">
        <v>3</v>
      </c>
      <c r="K611" s="1" t="s">
        <v>7</v>
      </c>
      <c r="R611" t="str">
        <f t="shared" si="40"/>
        <v>Ack</v>
      </c>
    </row>
    <row r="612" spans="1:18" hidden="1" x14ac:dyDescent="0.25">
      <c r="A612" s="3">
        <f t="shared" si="41"/>
        <v>44761.570608483795</v>
      </c>
      <c r="B612" s="8" t="str">
        <f t="shared" si="42"/>
        <v>→</v>
      </c>
      <c r="C612" s="11">
        <f t="shared" si="43"/>
        <v>0.1</v>
      </c>
      <c r="D612" s="2">
        <v>1658202100573</v>
      </c>
      <c r="E612" t="s">
        <v>0</v>
      </c>
      <c r="F612" s="1">
        <v>5</v>
      </c>
      <c r="G612" s="1">
        <v>21</v>
      </c>
      <c r="H612" s="1">
        <v>31</v>
      </c>
      <c r="I612" s="1">
        <v>6</v>
      </c>
      <c r="J612" s="1">
        <v>60</v>
      </c>
      <c r="K612" s="1">
        <v>83</v>
      </c>
      <c r="R612" t="str">
        <f t="shared" si="40"/>
        <v>FURNACE STATUS REQUEST</v>
      </c>
    </row>
    <row r="613" spans="1:18" hidden="1" x14ac:dyDescent="0.25">
      <c r="A613" s="3">
        <f t="shared" si="41"/>
        <v>44761.570610173607</v>
      </c>
      <c r="B613" s="8" t="str">
        <f t="shared" si="42"/>
        <v>←</v>
      </c>
      <c r="C613" s="11">
        <f t="shared" si="43"/>
        <v>0.14599999999999999</v>
      </c>
      <c r="D613" s="2">
        <v>1658202100719</v>
      </c>
      <c r="E613" t="s">
        <v>0</v>
      </c>
      <c r="F613" s="1">
        <v>9</v>
      </c>
      <c r="G613" s="1">
        <v>31</v>
      </c>
      <c r="H613" s="1">
        <v>21</v>
      </c>
      <c r="I613" s="1" t="s">
        <v>1</v>
      </c>
      <c r="J613" s="1">
        <v>0</v>
      </c>
      <c r="K613" s="1">
        <v>0</v>
      </c>
      <c r="L613" s="1">
        <v>0</v>
      </c>
      <c r="M613" s="1">
        <v>0</v>
      </c>
      <c r="N613" s="1" t="s">
        <v>21</v>
      </c>
      <c r="O613" s="1" t="s">
        <v>22</v>
      </c>
      <c r="R613" t="str">
        <f t="shared" si="40"/>
        <v>FURNACE STATUS RESPONSE Fan:0 Ignition:0 Burner:0 Unknown:0</v>
      </c>
    </row>
    <row r="614" spans="1:18" hidden="1" x14ac:dyDescent="0.25">
      <c r="A614" s="3">
        <f t="shared" si="41"/>
        <v>44761.57068842592</v>
      </c>
      <c r="B614" s="8" t="str">
        <f t="shared" si="42"/>
        <v>→</v>
      </c>
      <c r="C614" s="11">
        <f t="shared" si="43"/>
        <v>6.7610000000000001</v>
      </c>
      <c r="D614" s="2">
        <v>1658202107480</v>
      </c>
      <c r="E614" t="s">
        <v>0</v>
      </c>
      <c r="F614" s="1" t="s">
        <v>3</v>
      </c>
      <c r="G614" s="1">
        <v>21</v>
      </c>
      <c r="H614" s="1">
        <v>31</v>
      </c>
      <c r="I614" s="1" t="s">
        <v>3</v>
      </c>
      <c r="J614" s="1" t="s">
        <v>6</v>
      </c>
      <c r="K614" s="1">
        <v>12</v>
      </c>
      <c r="L614" s="1">
        <v>24</v>
      </c>
      <c r="M614" s="1">
        <v>1</v>
      </c>
      <c r="N614" s="1" t="s">
        <v>4</v>
      </c>
      <c r="O614" s="1">
        <v>0</v>
      </c>
      <c r="P614" s="1">
        <v>36</v>
      </c>
      <c r="Q614" s="1">
        <v>78</v>
      </c>
      <c r="R614" t="str">
        <f t="shared" si="40"/>
        <v>TEMPERATURE INFO Set:18 Actual:18 Countdown:180</v>
      </c>
    </row>
    <row r="615" spans="1:18" hidden="1" x14ac:dyDescent="0.25">
      <c r="A615" s="3">
        <f t="shared" si="41"/>
        <v>44761.570689837965</v>
      </c>
      <c r="B615" s="8" t="str">
        <f t="shared" si="42"/>
        <v>←</v>
      </c>
      <c r="C615" s="11">
        <f t="shared" si="43"/>
        <v>0.122</v>
      </c>
      <c r="D615" s="2">
        <v>1658202107602</v>
      </c>
      <c r="E615" t="s">
        <v>0</v>
      </c>
      <c r="F615" s="1">
        <v>5</v>
      </c>
      <c r="G615" s="1">
        <v>31</v>
      </c>
      <c r="H615" s="1">
        <v>21</v>
      </c>
      <c r="I615" s="1" t="s">
        <v>6</v>
      </c>
      <c r="J615" s="1">
        <v>3</v>
      </c>
      <c r="K615" s="1" t="s">
        <v>7</v>
      </c>
      <c r="R615" t="str">
        <f t="shared" si="40"/>
        <v>Ack</v>
      </c>
    </row>
    <row r="616" spans="1:18" hidden="1" x14ac:dyDescent="0.25">
      <c r="A616" s="3">
        <f t="shared" si="41"/>
        <v>44761.57069192129</v>
      </c>
      <c r="B616" s="8" t="str">
        <f t="shared" si="42"/>
        <v>←</v>
      </c>
      <c r="C616" s="11">
        <f t="shared" si="43"/>
        <v>0.18</v>
      </c>
      <c r="D616" s="2">
        <v>1658202107782</v>
      </c>
      <c r="E616" t="s">
        <v>0</v>
      </c>
      <c r="F616" s="1">
        <v>9</v>
      </c>
      <c r="G616" s="1">
        <v>31</v>
      </c>
      <c r="H616" s="1">
        <v>21</v>
      </c>
      <c r="I616" s="1">
        <v>5</v>
      </c>
      <c r="J616" s="1">
        <v>0</v>
      </c>
      <c r="K616" s="1">
        <v>23</v>
      </c>
      <c r="L616" s="1">
        <v>0</v>
      </c>
      <c r="M616" s="1">
        <v>0</v>
      </c>
      <c r="N616" s="1" t="s">
        <v>8</v>
      </c>
      <c r="O616" s="1">
        <v>20</v>
      </c>
      <c r="R616" t="str">
        <f t="shared" si="40"/>
        <v>FURNACE STATUS REPORT Fan:1 Ignition:1 Burner:0 Unknown:20</v>
      </c>
    </row>
    <row r="617" spans="1:18" hidden="1" x14ac:dyDescent="0.25">
      <c r="A617" s="3">
        <f t="shared" si="41"/>
        <v>44761.570692951391</v>
      </c>
      <c r="B617" s="8" t="str">
        <f t="shared" si="42"/>
        <v>→</v>
      </c>
      <c r="C617" s="11">
        <f t="shared" si="43"/>
        <v>8.8999999999999996E-2</v>
      </c>
      <c r="D617" s="2">
        <v>1658202107871</v>
      </c>
      <c r="E617" t="s">
        <v>0</v>
      </c>
      <c r="F617" s="1">
        <v>5</v>
      </c>
      <c r="G617" s="1">
        <v>21</v>
      </c>
      <c r="H617" s="1">
        <v>31</v>
      </c>
      <c r="I617" s="1" t="s">
        <v>6</v>
      </c>
      <c r="J617" s="1">
        <v>62</v>
      </c>
      <c r="K617" s="1">
        <v>95</v>
      </c>
      <c r="R617" t="str">
        <f t="shared" si="40"/>
        <v>Ack</v>
      </c>
    </row>
    <row r="618" spans="1:18" hidden="1" x14ac:dyDescent="0.25">
      <c r="A618" s="3">
        <f t="shared" si="41"/>
        <v>44761.570862384258</v>
      </c>
      <c r="B618" s="8" t="str">
        <f t="shared" si="42"/>
        <v>←</v>
      </c>
      <c r="C618" s="11">
        <f t="shared" si="43"/>
        <v>14.638999999999999</v>
      </c>
      <c r="D618" s="2">
        <v>1658202122510</v>
      </c>
      <c r="E618" t="s">
        <v>0</v>
      </c>
      <c r="F618" s="1">
        <v>9</v>
      </c>
      <c r="G618" s="1">
        <v>31</v>
      </c>
      <c r="H618" s="1">
        <v>21</v>
      </c>
      <c r="I618" s="1">
        <v>5</v>
      </c>
      <c r="J618" s="1">
        <v>0</v>
      </c>
      <c r="K618" s="1">
        <v>33</v>
      </c>
      <c r="L618" s="1">
        <v>0</v>
      </c>
      <c r="M618" s="1">
        <v>0</v>
      </c>
      <c r="N618" s="1">
        <v>58</v>
      </c>
      <c r="O618" s="1">
        <v>63</v>
      </c>
      <c r="R618" t="str">
        <f t="shared" si="40"/>
        <v>FURNACE STATUS REPORT Fan:1 Ignition:1 Burner:0 Unknown:30</v>
      </c>
    </row>
    <row r="619" spans="1:18" hidden="1" x14ac:dyDescent="0.25">
      <c r="A619" s="3">
        <f t="shared" si="41"/>
        <v>44761.570863263885</v>
      </c>
      <c r="B619" s="8" t="str">
        <f t="shared" si="42"/>
        <v>→</v>
      </c>
      <c r="C619" s="11">
        <f t="shared" si="43"/>
        <v>7.5999999999999998E-2</v>
      </c>
      <c r="D619" s="2">
        <v>1658202122586</v>
      </c>
      <c r="E619" t="s">
        <v>0</v>
      </c>
      <c r="F619" s="1">
        <v>5</v>
      </c>
      <c r="G619" s="1">
        <v>21</v>
      </c>
      <c r="H619" s="1">
        <v>31</v>
      </c>
      <c r="I619" s="1" t="s">
        <v>6</v>
      </c>
      <c r="J619" s="1">
        <v>62</v>
      </c>
      <c r="K619" s="1">
        <v>95</v>
      </c>
      <c r="R619" t="str">
        <f t="shared" si="40"/>
        <v>Ack</v>
      </c>
    </row>
    <row r="620" spans="1:18" hidden="1" x14ac:dyDescent="0.25">
      <c r="A620" s="3">
        <f t="shared" si="41"/>
        <v>44761.57095587963</v>
      </c>
      <c r="B620" s="8" t="str">
        <f t="shared" si="42"/>
        <v>←</v>
      </c>
      <c r="C620" s="11">
        <f t="shared" si="43"/>
        <v>8.0020000000000007</v>
      </c>
      <c r="D620" s="2">
        <v>1658202130588</v>
      </c>
      <c r="E620" t="s">
        <v>0</v>
      </c>
      <c r="F620" s="1">
        <v>9</v>
      </c>
      <c r="G620" s="1">
        <v>31</v>
      </c>
      <c r="H620" s="1">
        <v>21</v>
      </c>
      <c r="I620" s="1">
        <v>5</v>
      </c>
      <c r="J620" s="1">
        <v>0</v>
      </c>
      <c r="K620" s="1">
        <v>37</v>
      </c>
      <c r="L620" s="1">
        <v>0</v>
      </c>
      <c r="M620" s="1">
        <v>0</v>
      </c>
      <c r="N620" s="1" t="s">
        <v>26</v>
      </c>
      <c r="O620" s="1">
        <v>30</v>
      </c>
      <c r="R620" t="str">
        <f t="shared" si="40"/>
        <v>FURNACE STATUS REPORT Fan:1 Ignition:1 Burner:1 Unknown:30</v>
      </c>
    </row>
    <row r="621" spans="1:18" hidden="1" x14ac:dyDescent="0.25">
      <c r="A621" s="3">
        <f t="shared" si="41"/>
        <v>44761.570957037031</v>
      </c>
      <c r="B621" s="8" t="str">
        <f t="shared" si="42"/>
        <v>→</v>
      </c>
      <c r="C621" s="11">
        <f t="shared" si="43"/>
        <v>0.1</v>
      </c>
      <c r="D621" s="2">
        <v>1658202130688</v>
      </c>
      <c r="E621" t="s">
        <v>0</v>
      </c>
      <c r="F621" s="1">
        <v>5</v>
      </c>
      <c r="G621" s="1">
        <v>21</v>
      </c>
      <c r="H621" s="1">
        <v>31</v>
      </c>
      <c r="I621" s="1" t="s">
        <v>6</v>
      </c>
      <c r="J621" s="1">
        <v>62</v>
      </c>
      <c r="K621" s="1">
        <v>95</v>
      </c>
      <c r="R621" t="str">
        <f t="shared" si="40"/>
        <v>Ack</v>
      </c>
    </row>
    <row r="622" spans="1:18" hidden="1" x14ac:dyDescent="0.25">
      <c r="A622" s="3">
        <f t="shared" si="41"/>
        <v>44761.571004108795</v>
      </c>
      <c r="B622" s="8" t="str">
        <f t="shared" si="42"/>
        <v>←</v>
      </c>
      <c r="C622" s="11">
        <f t="shared" si="43"/>
        <v>4.0670000000000002</v>
      </c>
      <c r="D622" s="2">
        <v>1658202134755</v>
      </c>
      <c r="E622" t="s">
        <v>0</v>
      </c>
      <c r="F622" s="1">
        <v>9</v>
      </c>
      <c r="G622" s="1">
        <v>31</v>
      </c>
      <c r="H622" s="1">
        <v>21</v>
      </c>
      <c r="I622" s="1">
        <v>5</v>
      </c>
      <c r="J622" s="1">
        <v>0</v>
      </c>
      <c r="K622" s="1">
        <v>36</v>
      </c>
      <c r="L622" s="1">
        <v>0</v>
      </c>
      <c r="M622" s="1">
        <v>0</v>
      </c>
      <c r="N622" s="1">
        <v>58</v>
      </c>
      <c r="O622" s="1">
        <v>27</v>
      </c>
      <c r="R622" t="str">
        <f t="shared" si="40"/>
        <v>FURNACE STATUS REPORT Fan:0 Ignition:1 Burner:1 Unknown:30</v>
      </c>
    </row>
    <row r="623" spans="1:18" hidden="1" x14ac:dyDescent="0.25">
      <c r="A623" s="3">
        <f t="shared" si="41"/>
        <v>44761.571005879632</v>
      </c>
      <c r="B623" s="8" t="str">
        <f t="shared" si="42"/>
        <v>→</v>
      </c>
      <c r="C623" s="11">
        <f t="shared" si="43"/>
        <v>0.153</v>
      </c>
      <c r="D623" s="2">
        <v>1658202134908</v>
      </c>
      <c r="E623" t="s">
        <v>0</v>
      </c>
      <c r="F623" s="1">
        <v>5</v>
      </c>
      <c r="G623" s="1">
        <v>21</v>
      </c>
      <c r="H623" s="1">
        <v>31</v>
      </c>
      <c r="I623" s="1" t="s">
        <v>6</v>
      </c>
      <c r="J623" s="1">
        <v>62</v>
      </c>
      <c r="K623" s="1">
        <v>95</v>
      </c>
      <c r="R623" t="str">
        <f t="shared" si="40"/>
        <v>Ack</v>
      </c>
    </row>
    <row r="624" spans="1:18" hidden="1" x14ac:dyDescent="0.25">
      <c r="A624" s="3">
        <f t="shared" si="41"/>
        <v>44761.571036747679</v>
      </c>
      <c r="B624" s="8" t="str">
        <f t="shared" si="42"/>
        <v>←</v>
      </c>
      <c r="C624" s="11">
        <f t="shared" si="43"/>
        <v>2.6669999999999998</v>
      </c>
      <c r="D624" s="2">
        <v>1658202137575</v>
      </c>
      <c r="E624" t="s">
        <v>0</v>
      </c>
      <c r="F624" s="1">
        <v>9</v>
      </c>
      <c r="G624" s="1">
        <v>31</v>
      </c>
      <c r="H624" s="1">
        <v>21</v>
      </c>
      <c r="I624" s="1">
        <v>5</v>
      </c>
      <c r="J624" s="1">
        <v>0</v>
      </c>
      <c r="K624" s="1">
        <v>26</v>
      </c>
      <c r="L624" s="1">
        <v>0</v>
      </c>
      <c r="M624" s="1">
        <v>0</v>
      </c>
      <c r="N624" s="1" t="s">
        <v>8</v>
      </c>
      <c r="O624" s="1">
        <v>64</v>
      </c>
      <c r="R624" t="str">
        <f t="shared" si="40"/>
        <v>FURNACE STATUS REPORT Fan:0 Ignition:1 Burner:1 Unknown:20</v>
      </c>
    </row>
    <row r="625" spans="1:18" hidden="1" x14ac:dyDescent="0.25">
      <c r="A625" s="3">
        <f t="shared" si="41"/>
        <v>44761.571037696755</v>
      </c>
      <c r="B625" s="8" t="str">
        <f t="shared" si="42"/>
        <v>→</v>
      </c>
      <c r="C625" s="11">
        <f t="shared" si="43"/>
        <v>8.2000000000000003E-2</v>
      </c>
      <c r="D625" s="2">
        <v>1658202137657</v>
      </c>
      <c r="E625" t="s">
        <v>0</v>
      </c>
      <c r="F625" s="1">
        <v>5</v>
      </c>
      <c r="G625" s="1">
        <v>21</v>
      </c>
      <c r="H625" s="1">
        <v>31</v>
      </c>
      <c r="I625" s="1" t="s">
        <v>6</v>
      </c>
      <c r="J625" s="1">
        <v>62</v>
      </c>
      <c r="K625" s="1">
        <v>95</v>
      </c>
      <c r="R625" t="str">
        <f t="shared" si="40"/>
        <v>Ack</v>
      </c>
    </row>
    <row r="626" spans="1:18" hidden="1" x14ac:dyDescent="0.25">
      <c r="A626" s="3">
        <f t="shared" si="41"/>
        <v>44761.571119108798</v>
      </c>
      <c r="B626" s="8" t="str">
        <f t="shared" si="42"/>
        <v>←</v>
      </c>
      <c r="C626" s="11">
        <f t="shared" si="43"/>
        <v>7.0339999999999998</v>
      </c>
      <c r="D626" s="2">
        <v>1658202144691</v>
      </c>
      <c r="E626" t="s">
        <v>0</v>
      </c>
      <c r="F626" s="1">
        <v>9</v>
      </c>
      <c r="G626" s="1">
        <v>31</v>
      </c>
      <c r="H626" s="1">
        <v>21</v>
      </c>
      <c r="I626" s="1">
        <v>5</v>
      </c>
      <c r="J626" s="1">
        <v>0</v>
      </c>
      <c r="K626" s="1">
        <v>27</v>
      </c>
      <c r="L626" s="1">
        <v>0</v>
      </c>
      <c r="M626" s="1">
        <v>0</v>
      </c>
      <c r="N626" s="1">
        <v>59</v>
      </c>
      <c r="O626" s="1">
        <v>73</v>
      </c>
      <c r="R626" t="str">
        <f t="shared" si="40"/>
        <v>FURNACE STATUS REPORT Fan:1 Ignition:1 Burner:1 Unknown:20</v>
      </c>
    </row>
    <row r="627" spans="1:18" hidden="1" x14ac:dyDescent="0.25">
      <c r="A627" s="3">
        <f t="shared" si="41"/>
        <v>44761.57112004629</v>
      </c>
      <c r="B627" s="8" t="str">
        <f t="shared" si="42"/>
        <v>→</v>
      </c>
      <c r="C627" s="11">
        <f t="shared" si="43"/>
        <v>8.1000000000000003E-2</v>
      </c>
      <c r="D627" s="2">
        <v>1658202144772</v>
      </c>
      <c r="E627" t="s">
        <v>0</v>
      </c>
      <c r="F627" s="1">
        <v>5</v>
      </c>
      <c r="G627" s="1">
        <v>21</v>
      </c>
      <c r="H627" s="1">
        <v>31</v>
      </c>
      <c r="I627" s="1" t="s">
        <v>6</v>
      </c>
      <c r="J627" s="1">
        <v>62</v>
      </c>
      <c r="K627" s="1">
        <v>95</v>
      </c>
      <c r="R627" t="str">
        <f t="shared" si="40"/>
        <v>Ack</v>
      </c>
    </row>
    <row r="628" spans="1:18" hidden="1" x14ac:dyDescent="0.25">
      <c r="A628" s="3">
        <f t="shared" si="41"/>
        <v>44761.571292002314</v>
      </c>
      <c r="B628" s="8" t="str">
        <f t="shared" si="42"/>
        <v>→</v>
      </c>
      <c r="C628" s="11">
        <f t="shared" si="43"/>
        <v>14.856999999999999</v>
      </c>
      <c r="D628" s="2">
        <v>1658202159629</v>
      </c>
      <c r="E628" t="s">
        <v>0</v>
      </c>
      <c r="F628" s="1">
        <v>8</v>
      </c>
      <c r="G628" s="1">
        <v>21</v>
      </c>
      <c r="H628" s="1">
        <v>31</v>
      </c>
      <c r="I628" s="1">
        <v>7</v>
      </c>
      <c r="J628" s="1" t="s">
        <v>70</v>
      </c>
      <c r="K628" s="1">
        <v>25</v>
      </c>
      <c r="L628" s="1">
        <v>1</v>
      </c>
      <c r="M628" s="1" t="s">
        <v>43</v>
      </c>
      <c r="N628" s="1" t="s">
        <v>57</v>
      </c>
      <c r="R628" t="str">
        <f t="shared" si="40"/>
        <v>TIME 13:37 Tue</v>
      </c>
    </row>
    <row r="629" spans="1:18" hidden="1" x14ac:dyDescent="0.25">
      <c r="A629" s="3">
        <f t="shared" si="41"/>
        <v>44761.571293414345</v>
      </c>
      <c r="B629" s="8" t="str">
        <f t="shared" si="42"/>
        <v>←</v>
      </c>
      <c r="C629" s="11">
        <f t="shared" si="43"/>
        <v>0.122</v>
      </c>
      <c r="D629" s="2">
        <v>1658202159751</v>
      </c>
      <c r="E629" t="s">
        <v>0</v>
      </c>
      <c r="F629" s="1">
        <v>5</v>
      </c>
      <c r="G629" s="1">
        <v>31</v>
      </c>
      <c r="H629" s="1">
        <v>21</v>
      </c>
      <c r="I629" s="1" t="s">
        <v>6</v>
      </c>
      <c r="J629" s="1">
        <v>3</v>
      </c>
      <c r="K629" s="1" t="s">
        <v>7</v>
      </c>
      <c r="R629" t="str">
        <f t="shared" si="40"/>
        <v>Ack</v>
      </c>
    </row>
    <row r="630" spans="1:18" hidden="1" x14ac:dyDescent="0.25">
      <c r="A630" s="3">
        <f t="shared" si="41"/>
        <v>44761.571294479167</v>
      </c>
      <c r="B630" s="8" t="str">
        <f t="shared" si="42"/>
        <v>→</v>
      </c>
      <c r="C630" s="11">
        <f t="shared" si="43"/>
        <v>9.1999999999999998E-2</v>
      </c>
      <c r="D630" s="2">
        <v>1658202159843</v>
      </c>
      <c r="E630" t="s">
        <v>0</v>
      </c>
      <c r="F630" s="1">
        <v>5</v>
      </c>
      <c r="G630" s="1">
        <v>21</v>
      </c>
      <c r="H630" s="1">
        <v>31</v>
      </c>
      <c r="I630" s="1">
        <v>9</v>
      </c>
      <c r="J630" s="1">
        <v>60</v>
      </c>
      <c r="K630" s="1" t="s">
        <v>11</v>
      </c>
      <c r="R630" t="str">
        <f t="shared" si="40"/>
        <v>PING FURNACE</v>
      </c>
    </row>
    <row r="631" spans="1:18" hidden="1" x14ac:dyDescent="0.25">
      <c r="A631" s="3">
        <f t="shared" si="41"/>
        <v>44761.571296030095</v>
      </c>
      <c r="B631" s="8" t="str">
        <f t="shared" si="42"/>
        <v>←</v>
      </c>
      <c r="C631" s="11">
        <f t="shared" si="43"/>
        <v>0.13400000000000001</v>
      </c>
      <c r="D631" s="2">
        <v>1658202159977</v>
      </c>
      <c r="E631" t="s">
        <v>0</v>
      </c>
      <c r="F631" s="1">
        <v>5</v>
      </c>
      <c r="G631" s="1">
        <v>31</v>
      </c>
      <c r="H631" s="1">
        <v>21</v>
      </c>
      <c r="I631" s="1" t="s">
        <v>6</v>
      </c>
      <c r="J631" s="1">
        <v>3</v>
      </c>
      <c r="K631" s="1" t="s">
        <v>7</v>
      </c>
      <c r="R631" t="str">
        <f t="shared" si="40"/>
        <v>Ack</v>
      </c>
    </row>
    <row r="632" spans="1:18" hidden="1" x14ac:dyDescent="0.25">
      <c r="A632" s="3">
        <f t="shared" si="41"/>
        <v>44761.571297708331</v>
      </c>
      <c r="B632" s="8" t="str">
        <f t="shared" si="42"/>
        <v>→</v>
      </c>
      <c r="C632" s="11">
        <f t="shared" si="43"/>
        <v>0.14499999999999999</v>
      </c>
      <c r="D632" s="2">
        <v>1658202160122</v>
      </c>
      <c r="E632" t="s">
        <v>0</v>
      </c>
      <c r="F632" s="1" t="s">
        <v>3</v>
      </c>
      <c r="G632" s="1">
        <v>21</v>
      </c>
      <c r="H632" s="1">
        <v>31</v>
      </c>
      <c r="I632" s="1" t="s">
        <v>3</v>
      </c>
      <c r="J632" s="1" t="s">
        <v>6</v>
      </c>
      <c r="K632" s="1">
        <v>12</v>
      </c>
      <c r="L632" s="1">
        <v>24</v>
      </c>
      <c r="M632" s="1">
        <v>1</v>
      </c>
      <c r="N632" s="1">
        <v>78</v>
      </c>
      <c r="O632" s="1">
        <v>0</v>
      </c>
      <c r="P632" s="1" t="s">
        <v>34</v>
      </c>
      <c r="Q632" s="1">
        <v>77</v>
      </c>
      <c r="R632" t="str">
        <f t="shared" si="40"/>
        <v>TEMPERATURE INFO Set:18 Actual:18 Countdown:120</v>
      </c>
    </row>
    <row r="633" spans="1:18" hidden="1" x14ac:dyDescent="0.25">
      <c r="A633" s="3">
        <f t="shared" si="41"/>
        <v>44761.571299201387</v>
      </c>
      <c r="B633" s="8" t="str">
        <f t="shared" si="42"/>
        <v>←</v>
      </c>
      <c r="C633" s="11">
        <f t="shared" si="43"/>
        <v>0.129</v>
      </c>
      <c r="D633" s="2">
        <v>1658202160251</v>
      </c>
      <c r="E633" t="s">
        <v>0</v>
      </c>
      <c r="F633" s="1">
        <v>5</v>
      </c>
      <c r="G633" s="1">
        <v>31</v>
      </c>
      <c r="H633" s="1">
        <v>21</v>
      </c>
      <c r="I633" s="1" t="s">
        <v>6</v>
      </c>
      <c r="J633" s="1">
        <v>3</v>
      </c>
      <c r="K633" s="1" t="s">
        <v>7</v>
      </c>
      <c r="R633" t="str">
        <f t="shared" si="40"/>
        <v>Ack</v>
      </c>
    </row>
    <row r="634" spans="1:18" x14ac:dyDescent="0.25">
      <c r="A634" s="3">
        <f t="shared" si="41"/>
        <v>44761.571300543983</v>
      </c>
      <c r="B634" s="8" t="str">
        <f t="shared" si="42"/>
        <v>→</v>
      </c>
      <c r="C634" s="11">
        <f t="shared" si="43"/>
        <v>0.11600000000000001</v>
      </c>
      <c r="D634" s="2">
        <v>1658202160367</v>
      </c>
      <c r="E634" t="s">
        <v>0</v>
      </c>
      <c r="F634" s="1">
        <v>6</v>
      </c>
      <c r="G634" s="1">
        <v>21</v>
      </c>
      <c r="H634" s="1">
        <v>31</v>
      </c>
      <c r="I634" s="1">
        <v>29</v>
      </c>
      <c r="J634" s="1">
        <v>0</v>
      </c>
      <c r="K634" s="1" t="s">
        <v>13</v>
      </c>
      <c r="L634" s="1" t="s">
        <v>14</v>
      </c>
      <c r="R634" t="str">
        <f t="shared" si="40"/>
        <v>LONG PING FURNACE</v>
      </c>
    </row>
    <row r="635" spans="1:18" hidden="1" x14ac:dyDescent="0.25">
      <c r="A635" s="3">
        <f t="shared" si="41"/>
        <v>44761.571301990734</v>
      </c>
      <c r="B635" s="8" t="str">
        <f t="shared" si="42"/>
        <v>←</v>
      </c>
      <c r="C635" s="11">
        <f t="shared" si="43"/>
        <v>0.125</v>
      </c>
      <c r="D635" s="2">
        <v>1658202160492</v>
      </c>
      <c r="E635" t="s">
        <v>0</v>
      </c>
      <c r="F635" s="1">
        <v>5</v>
      </c>
      <c r="G635" s="1">
        <v>31</v>
      </c>
      <c r="H635" s="1">
        <v>21</v>
      </c>
      <c r="I635" s="1" t="s">
        <v>6</v>
      </c>
      <c r="J635" s="1">
        <v>3</v>
      </c>
      <c r="K635" s="1" t="s">
        <v>7</v>
      </c>
      <c r="R635" t="str">
        <f t="shared" si="40"/>
        <v>Ack</v>
      </c>
    </row>
    <row r="636" spans="1:18" hidden="1" x14ac:dyDescent="0.25">
      <c r="A636" s="3">
        <f t="shared" si="41"/>
        <v>44761.571303078701</v>
      </c>
      <c r="B636" s="8" t="str">
        <f t="shared" si="42"/>
        <v>→</v>
      </c>
      <c r="C636" s="11">
        <f t="shared" si="43"/>
        <v>9.4E-2</v>
      </c>
      <c r="D636" s="2">
        <v>1658202160586</v>
      </c>
      <c r="E636" t="s">
        <v>0</v>
      </c>
      <c r="F636" s="1">
        <v>5</v>
      </c>
      <c r="G636" s="1">
        <v>21</v>
      </c>
      <c r="H636" s="1">
        <v>31</v>
      </c>
      <c r="I636" s="1">
        <v>6</v>
      </c>
      <c r="J636" s="1">
        <v>60</v>
      </c>
      <c r="K636" s="1">
        <v>83</v>
      </c>
      <c r="R636" t="str">
        <f t="shared" si="40"/>
        <v>FURNACE STATUS REQUEST</v>
      </c>
    </row>
    <row r="637" spans="1:18" hidden="1" x14ac:dyDescent="0.25">
      <c r="A637" s="3">
        <f t="shared" si="41"/>
        <v>44761.571304826386</v>
      </c>
      <c r="B637" s="8" t="str">
        <f t="shared" si="42"/>
        <v>←</v>
      </c>
      <c r="C637" s="11">
        <f t="shared" si="43"/>
        <v>0.151</v>
      </c>
      <c r="D637" s="2">
        <v>1658202160737</v>
      </c>
      <c r="E637" t="s">
        <v>0</v>
      </c>
      <c r="F637" s="1">
        <v>9</v>
      </c>
      <c r="G637" s="1">
        <v>31</v>
      </c>
      <c r="H637" s="1">
        <v>21</v>
      </c>
      <c r="I637" s="1" t="s">
        <v>1</v>
      </c>
      <c r="J637" s="1">
        <v>0</v>
      </c>
      <c r="K637" s="1">
        <v>27</v>
      </c>
      <c r="L637" s="1">
        <v>0</v>
      </c>
      <c r="M637" s="1">
        <v>0</v>
      </c>
      <c r="N637" s="1" t="s">
        <v>2</v>
      </c>
      <c r="O637" s="1">
        <v>20</v>
      </c>
      <c r="R637" t="str">
        <f t="shared" si="40"/>
        <v>FURNACE STATUS RESPONSE Fan:1 Ignition:1 Burner:1 Unknown:20</v>
      </c>
    </row>
    <row r="638" spans="1:18" hidden="1" x14ac:dyDescent="0.25">
      <c r="A638" s="3">
        <f t="shared" si="41"/>
        <v>44761.571986481482</v>
      </c>
      <c r="B638" s="8" t="str">
        <f t="shared" si="42"/>
        <v>→</v>
      </c>
      <c r="C638" s="11">
        <f t="shared" si="43"/>
        <v>58.895000000000003</v>
      </c>
      <c r="D638" s="2">
        <v>1658202219632</v>
      </c>
      <c r="E638" t="s">
        <v>0</v>
      </c>
      <c r="F638" s="1">
        <v>8</v>
      </c>
      <c r="G638" s="1">
        <v>21</v>
      </c>
      <c r="H638" s="1">
        <v>31</v>
      </c>
      <c r="I638" s="1">
        <v>7</v>
      </c>
      <c r="J638" s="1" t="s">
        <v>70</v>
      </c>
      <c r="K638" s="1">
        <v>26</v>
      </c>
      <c r="L638" s="1">
        <v>1</v>
      </c>
      <c r="M638" s="1" t="s">
        <v>44</v>
      </c>
      <c r="N638" s="1" t="s">
        <v>57</v>
      </c>
      <c r="R638" t="str">
        <f t="shared" si="40"/>
        <v>TIME 13:38 Tue</v>
      </c>
    </row>
    <row r="639" spans="1:18" hidden="1" x14ac:dyDescent="0.25">
      <c r="A639" s="3">
        <f t="shared" si="41"/>
        <v>44761.571987847223</v>
      </c>
      <c r="B639" s="8" t="str">
        <f t="shared" si="42"/>
        <v>←</v>
      </c>
      <c r="C639" s="11">
        <f t="shared" si="43"/>
        <v>0.11799999999999999</v>
      </c>
      <c r="D639" s="2">
        <v>1658202219750</v>
      </c>
      <c r="E639" t="s">
        <v>0</v>
      </c>
      <c r="F639" s="1">
        <v>5</v>
      </c>
      <c r="G639" s="1">
        <v>31</v>
      </c>
      <c r="H639" s="1">
        <v>21</v>
      </c>
      <c r="I639" s="1" t="s">
        <v>6</v>
      </c>
      <c r="J639" s="1">
        <v>3</v>
      </c>
      <c r="K639" s="1" t="s">
        <v>7</v>
      </c>
      <c r="R639" t="str">
        <f t="shared" si="40"/>
        <v>Ack</v>
      </c>
    </row>
    <row r="640" spans="1:18" hidden="1" x14ac:dyDescent="0.25">
      <c r="A640" s="3">
        <f t="shared" si="41"/>
        <v>44761.571989004624</v>
      </c>
      <c r="B640" s="8" t="str">
        <f t="shared" si="42"/>
        <v>→</v>
      </c>
      <c r="C640" s="11">
        <f t="shared" si="43"/>
        <v>0.1</v>
      </c>
      <c r="D640" s="2">
        <v>1658202219850</v>
      </c>
      <c r="E640" t="s">
        <v>0</v>
      </c>
      <c r="F640" s="1">
        <v>5</v>
      </c>
      <c r="G640" s="1">
        <v>21</v>
      </c>
      <c r="H640" s="1">
        <v>31</v>
      </c>
      <c r="I640" s="1">
        <v>9</v>
      </c>
      <c r="J640" s="1">
        <v>60</v>
      </c>
      <c r="K640" s="1" t="s">
        <v>11</v>
      </c>
      <c r="R640" t="str">
        <f t="shared" si="40"/>
        <v>PING FURNACE</v>
      </c>
    </row>
    <row r="641" spans="1:18" hidden="1" x14ac:dyDescent="0.25">
      <c r="A641" s="3">
        <f t="shared" si="41"/>
        <v>44761.571990254626</v>
      </c>
      <c r="B641" s="8" t="str">
        <f t="shared" si="42"/>
        <v>←</v>
      </c>
      <c r="C641" s="11">
        <f t="shared" si="43"/>
        <v>0.108</v>
      </c>
      <c r="D641" s="2">
        <v>1658202219958</v>
      </c>
      <c r="E641" t="s">
        <v>0</v>
      </c>
      <c r="F641" s="1">
        <v>5</v>
      </c>
      <c r="G641" s="1">
        <v>31</v>
      </c>
      <c r="H641" s="1">
        <v>21</v>
      </c>
      <c r="I641" s="1" t="s">
        <v>6</v>
      </c>
      <c r="J641" s="1">
        <v>3</v>
      </c>
      <c r="K641" s="1" t="s">
        <v>7</v>
      </c>
      <c r="R641" t="str">
        <f t="shared" si="40"/>
        <v>Ack</v>
      </c>
    </row>
    <row r="642" spans="1:18" hidden="1" x14ac:dyDescent="0.25">
      <c r="A642" s="3">
        <f t="shared" si="41"/>
        <v>44761.571992141202</v>
      </c>
      <c r="B642" s="8" t="str">
        <f t="shared" si="42"/>
        <v>→</v>
      </c>
      <c r="C642" s="11">
        <f t="shared" si="43"/>
        <v>0.16300000000000001</v>
      </c>
      <c r="D642" s="2">
        <v>1658202220121</v>
      </c>
      <c r="E642" t="s">
        <v>0</v>
      </c>
      <c r="F642" s="1" t="s">
        <v>3</v>
      </c>
      <c r="G642" s="1">
        <v>21</v>
      </c>
      <c r="H642" s="1">
        <v>31</v>
      </c>
      <c r="I642" s="1" t="s">
        <v>3</v>
      </c>
      <c r="J642" s="1" t="s">
        <v>6</v>
      </c>
      <c r="K642" s="1">
        <v>12</v>
      </c>
      <c r="L642" s="1">
        <v>24</v>
      </c>
      <c r="M642" s="1">
        <v>1</v>
      </c>
      <c r="N642" s="1" t="s">
        <v>69</v>
      </c>
      <c r="O642" s="1">
        <v>0</v>
      </c>
      <c r="P642" s="1">
        <v>6</v>
      </c>
      <c r="Q642" s="1">
        <v>72</v>
      </c>
      <c r="R642" t="str">
        <f t="shared" si="40"/>
        <v>TEMPERATURE INFO Set:18 Actual:18 Countdown:60</v>
      </c>
    </row>
    <row r="643" spans="1:18" hidden="1" x14ac:dyDescent="0.25">
      <c r="A643" s="3">
        <f t="shared" si="41"/>
        <v>44761.571993460646</v>
      </c>
      <c r="B643" s="8" t="str">
        <f t="shared" si="42"/>
        <v>←</v>
      </c>
      <c r="C643" s="11">
        <f t="shared" si="43"/>
        <v>0.114</v>
      </c>
      <c r="D643" s="2">
        <v>1658202220235</v>
      </c>
      <c r="E643" t="s">
        <v>0</v>
      </c>
      <c r="F643" s="1">
        <v>5</v>
      </c>
      <c r="G643" s="1">
        <v>31</v>
      </c>
      <c r="H643" s="1">
        <v>21</v>
      </c>
      <c r="I643" s="1" t="s">
        <v>6</v>
      </c>
      <c r="J643" s="1">
        <v>3</v>
      </c>
      <c r="K643" s="1" t="s">
        <v>7</v>
      </c>
      <c r="R643" t="str">
        <f t="shared" ref="R643:R706" si="44">IF(E643="Ok",_xlfn.SWITCH(I643,5,"FURNACE STATUS REPORT Fan:"&amp;IF(_xlfn.BITAND(HEX2DEC(K643),1),"1","0")&amp;" Ignition:"&amp;IF(_xlfn.BITAND(HEX2DEC(K643),2),"1","0")&amp;" Burner:"&amp;IF(_xlfn.BITAND(HEX2DEC(K643),4),"1","0")&amp;" Unknown:"&amp;DEC2HEX(_xlfn.BITAND(HEX2DEC(K643),248)),6,"FURNACE STATUS REQUEST",7,"TIME "&amp;HEX2DEC(J643)&amp;":"&amp;HEX2DEC(K643)&amp;" "&amp;CHOOSE(L643+1,"Mon","Tue","Wed","Thu","Fri","Sat","Sun"),9,"PING FURNACE","0B","TEMPERATURE INFO Set:"&amp;HEX2DEC(K643)&amp;" Actual:"&amp;HEX2DEC(L643)/2&amp;" Countdown:"&amp;HEX2DEC(N643),29,"LONG PING FURNACE","FB","FURNACE STATUS RESPONSE Fan:"&amp;IF(_xlfn.BITAND(HEX2DEC(K643),1),"1","0")&amp;" Ignition:"&amp;IF(_xlfn.BITAND(HEX2DEC(K643),2),"1","0")&amp;" Burner:"&amp;IF(_xlfn.BITAND(HEX2DEC(K643),4),"1","0")&amp;" Unknown:"&amp;DEC2HEX(_xlfn.BITAND(HEX2DEC(K643),248)),"FF","Ack"),"")</f>
        <v>Ack</v>
      </c>
    </row>
    <row r="644" spans="1:18" x14ac:dyDescent="0.25">
      <c r="A644" s="3">
        <f t="shared" si="41"/>
        <v>44761.571995381943</v>
      </c>
      <c r="B644" s="8" t="str">
        <f t="shared" si="42"/>
        <v>→</v>
      </c>
      <c r="C644" s="11">
        <f t="shared" si="43"/>
        <v>0.16600000000000001</v>
      </c>
      <c r="D644" s="2">
        <v>1658202220401</v>
      </c>
      <c r="E644" t="s">
        <v>0</v>
      </c>
      <c r="F644" s="1">
        <v>6</v>
      </c>
      <c r="G644" s="1">
        <v>21</v>
      </c>
      <c r="H644" s="1">
        <v>31</v>
      </c>
      <c r="I644" s="1">
        <v>29</v>
      </c>
      <c r="J644" s="1">
        <v>0</v>
      </c>
      <c r="K644" s="1" t="s">
        <v>13</v>
      </c>
      <c r="L644" s="1" t="s">
        <v>14</v>
      </c>
      <c r="R644" t="str">
        <f t="shared" si="44"/>
        <v>LONG PING FURNACE</v>
      </c>
    </row>
    <row r="645" spans="1:18" hidden="1" x14ac:dyDescent="0.25">
      <c r="A645" s="3">
        <f t="shared" si="41"/>
        <v>44761.5719961574</v>
      </c>
      <c r="B645" s="8" t="str">
        <f t="shared" si="42"/>
        <v>←</v>
      </c>
      <c r="C645" s="11">
        <f t="shared" si="43"/>
        <v>6.7000000000000004E-2</v>
      </c>
      <c r="D645" s="2">
        <v>1658202220468</v>
      </c>
      <c r="E645" t="s">
        <v>0</v>
      </c>
      <c r="F645" s="1">
        <v>5</v>
      </c>
      <c r="G645" s="1">
        <v>31</v>
      </c>
      <c r="H645" s="1">
        <v>21</v>
      </c>
      <c r="I645" s="1" t="s">
        <v>6</v>
      </c>
      <c r="J645" s="1">
        <v>3</v>
      </c>
      <c r="K645" s="1" t="s">
        <v>7</v>
      </c>
      <c r="R645" t="str">
        <f t="shared" si="44"/>
        <v>Ack</v>
      </c>
    </row>
    <row r="646" spans="1:18" hidden="1" x14ac:dyDescent="0.25">
      <c r="A646" s="3">
        <f t="shared" si="41"/>
        <v>44761.57199733796</v>
      </c>
      <c r="B646" s="8" t="str">
        <f t="shared" si="42"/>
        <v>→</v>
      </c>
      <c r="C646" s="11">
        <f t="shared" si="43"/>
        <v>0.10199999999999999</v>
      </c>
      <c r="D646" s="2">
        <v>1658202220570</v>
      </c>
      <c r="E646" t="s">
        <v>0</v>
      </c>
      <c r="F646" s="1">
        <v>5</v>
      </c>
      <c r="G646" s="1">
        <v>21</v>
      </c>
      <c r="H646" s="1">
        <v>31</v>
      </c>
      <c r="I646" s="1">
        <v>6</v>
      </c>
      <c r="J646" s="1">
        <v>60</v>
      </c>
      <c r="K646" s="1">
        <v>83</v>
      </c>
      <c r="R646" t="str">
        <f t="shared" si="44"/>
        <v>FURNACE STATUS REQUEST</v>
      </c>
    </row>
    <row r="647" spans="1:18" hidden="1" x14ac:dyDescent="0.25">
      <c r="A647" s="3">
        <f t="shared" si="41"/>
        <v>44761.571999016196</v>
      </c>
      <c r="B647" s="8" t="str">
        <f t="shared" si="42"/>
        <v>←</v>
      </c>
      <c r="C647" s="11">
        <f t="shared" si="43"/>
        <v>0.14499999999999999</v>
      </c>
      <c r="D647" s="2">
        <v>1658202220715</v>
      </c>
      <c r="E647" t="s">
        <v>0</v>
      </c>
      <c r="F647" s="1">
        <v>9</v>
      </c>
      <c r="G647" s="1">
        <v>31</v>
      </c>
      <c r="H647" s="1">
        <v>21</v>
      </c>
      <c r="I647" s="1" t="s">
        <v>1</v>
      </c>
      <c r="J647" s="1">
        <v>0</v>
      </c>
      <c r="K647" s="1">
        <v>27</v>
      </c>
      <c r="L647" s="1">
        <v>0</v>
      </c>
      <c r="M647" s="1">
        <v>0</v>
      </c>
      <c r="N647" s="1" t="s">
        <v>2</v>
      </c>
      <c r="O647" s="1">
        <v>20</v>
      </c>
      <c r="R647" t="str">
        <f t="shared" si="44"/>
        <v>FURNACE STATUS RESPONSE Fan:1 Ignition:1 Burner:1 Unknown:20</v>
      </c>
    </row>
    <row r="648" spans="1:18" hidden="1" x14ac:dyDescent="0.25">
      <c r="A648" s="3">
        <f t="shared" si="41"/>
        <v>44761.572680763886</v>
      </c>
      <c r="B648" s="8" t="str">
        <f t="shared" si="42"/>
        <v>→</v>
      </c>
      <c r="C648" s="11">
        <f t="shared" si="43"/>
        <v>58.902999999999999</v>
      </c>
      <c r="D648" s="2">
        <v>1658202279618</v>
      </c>
      <c r="E648" t="s">
        <v>0</v>
      </c>
      <c r="F648" s="1">
        <v>8</v>
      </c>
      <c r="G648" s="1">
        <v>21</v>
      </c>
      <c r="H648" s="1">
        <v>31</v>
      </c>
      <c r="I648" s="1">
        <v>7</v>
      </c>
      <c r="J648" s="1" t="s">
        <v>70</v>
      </c>
      <c r="K648" s="1">
        <v>27</v>
      </c>
      <c r="L648" s="1">
        <v>1</v>
      </c>
      <c r="M648" s="1">
        <v>46</v>
      </c>
      <c r="N648" s="1" t="s">
        <v>109</v>
      </c>
      <c r="R648" t="str">
        <f t="shared" si="44"/>
        <v>TIME 13:39 Tue</v>
      </c>
    </row>
    <row r="649" spans="1:18" hidden="1" x14ac:dyDescent="0.25">
      <c r="A649" s="3">
        <f t="shared" si="41"/>
        <v>44761.572682210644</v>
      </c>
      <c r="B649" s="8" t="str">
        <f t="shared" si="42"/>
        <v>←</v>
      </c>
      <c r="C649" s="11">
        <f t="shared" si="43"/>
        <v>0.125</v>
      </c>
      <c r="D649" s="2">
        <v>1658202279743</v>
      </c>
      <c r="E649" t="s">
        <v>0</v>
      </c>
      <c r="F649" s="1">
        <v>5</v>
      </c>
      <c r="G649" s="1">
        <v>31</v>
      </c>
      <c r="H649" s="1">
        <v>21</v>
      </c>
      <c r="I649" s="1" t="s">
        <v>6</v>
      </c>
      <c r="J649" s="1">
        <v>3</v>
      </c>
      <c r="K649" s="1" t="s">
        <v>7</v>
      </c>
      <c r="R649" t="str">
        <f t="shared" si="44"/>
        <v>Ack</v>
      </c>
    </row>
    <row r="650" spans="1:18" hidden="1" x14ac:dyDescent="0.25">
      <c r="A650" s="3">
        <f t="shared" si="41"/>
        <v>44761.572684120365</v>
      </c>
      <c r="B650" s="8" t="str">
        <f t="shared" si="42"/>
        <v>→</v>
      </c>
      <c r="C650" s="11">
        <f t="shared" si="43"/>
        <v>0.16500000000000001</v>
      </c>
      <c r="D650" s="2">
        <v>1658202279908</v>
      </c>
      <c r="E650" t="s">
        <v>0</v>
      </c>
      <c r="F650" s="1" t="s">
        <v>3</v>
      </c>
      <c r="G650" s="1">
        <v>21</v>
      </c>
      <c r="H650" s="1">
        <v>31</v>
      </c>
      <c r="I650" s="1" t="s">
        <v>3</v>
      </c>
      <c r="J650" s="1">
        <v>0</v>
      </c>
      <c r="K650" s="1">
        <v>12</v>
      </c>
      <c r="L650" s="1">
        <v>25</v>
      </c>
      <c r="M650" s="1">
        <v>1</v>
      </c>
      <c r="N650" s="1" t="s">
        <v>4</v>
      </c>
      <c r="O650" s="1">
        <v>0</v>
      </c>
      <c r="P650" s="1" t="s">
        <v>101</v>
      </c>
      <c r="Q650" s="1" t="s">
        <v>108</v>
      </c>
      <c r="R650" t="str">
        <f t="shared" si="44"/>
        <v>TEMPERATURE INFO Set:18 Actual:18.5 Countdown:180</v>
      </c>
    </row>
    <row r="651" spans="1:18" hidden="1" x14ac:dyDescent="0.25">
      <c r="A651" s="3">
        <f t="shared" si="41"/>
        <v>44761.572685543979</v>
      </c>
      <c r="B651" s="8" t="str">
        <f t="shared" si="42"/>
        <v>←</v>
      </c>
      <c r="C651" s="11">
        <f t="shared" si="43"/>
        <v>0.123</v>
      </c>
      <c r="D651" s="2">
        <v>1658202280031</v>
      </c>
      <c r="E651" t="s">
        <v>0</v>
      </c>
      <c r="F651" s="1">
        <v>5</v>
      </c>
      <c r="G651" s="1">
        <v>31</v>
      </c>
      <c r="H651" s="1">
        <v>21</v>
      </c>
      <c r="I651" s="1" t="s">
        <v>6</v>
      </c>
      <c r="J651" s="1">
        <v>3</v>
      </c>
      <c r="K651" s="1" t="s">
        <v>7</v>
      </c>
      <c r="R651" t="str">
        <f t="shared" si="44"/>
        <v>Ack</v>
      </c>
    </row>
    <row r="652" spans="1:18" hidden="1" x14ac:dyDescent="0.25">
      <c r="A652" s="3">
        <f t="shared" si="41"/>
        <v>44761.572686631938</v>
      </c>
      <c r="B652" s="8" t="str">
        <f t="shared" si="42"/>
        <v>→</v>
      </c>
      <c r="C652" s="11">
        <f t="shared" si="43"/>
        <v>9.4E-2</v>
      </c>
      <c r="D652" s="2">
        <v>1658202280125</v>
      </c>
      <c r="E652" t="s">
        <v>0</v>
      </c>
      <c r="F652" s="1">
        <v>5</v>
      </c>
      <c r="G652" s="1">
        <v>21</v>
      </c>
      <c r="H652" s="1">
        <v>31</v>
      </c>
      <c r="I652" s="1">
        <v>9</v>
      </c>
      <c r="J652" s="1">
        <v>60</v>
      </c>
      <c r="K652" s="1" t="s">
        <v>11</v>
      </c>
      <c r="R652" t="str">
        <f t="shared" si="44"/>
        <v>PING FURNACE</v>
      </c>
    </row>
    <row r="653" spans="1:18" hidden="1" x14ac:dyDescent="0.25">
      <c r="A653" s="3">
        <f t="shared" si="41"/>
        <v>44761.572688275461</v>
      </c>
      <c r="B653" s="8" t="str">
        <f t="shared" si="42"/>
        <v>←</v>
      </c>
      <c r="C653" s="11">
        <f t="shared" si="43"/>
        <v>0.14199999999999999</v>
      </c>
      <c r="D653" s="2">
        <v>1658202280267</v>
      </c>
      <c r="E653" t="s">
        <v>0</v>
      </c>
      <c r="F653" s="1">
        <v>5</v>
      </c>
      <c r="G653" s="1">
        <v>31</v>
      </c>
      <c r="H653" s="1">
        <v>21</v>
      </c>
      <c r="I653" s="1" t="s">
        <v>6</v>
      </c>
      <c r="J653" s="1">
        <v>3</v>
      </c>
      <c r="K653" s="1" t="s">
        <v>7</v>
      </c>
      <c r="R653" t="str">
        <f t="shared" si="44"/>
        <v>Ack</v>
      </c>
    </row>
    <row r="654" spans="1:18" hidden="1" x14ac:dyDescent="0.25">
      <c r="A654" s="3">
        <f t="shared" si="41"/>
        <v>44761.572689976849</v>
      </c>
      <c r="B654" s="8" t="str">
        <f t="shared" si="42"/>
        <v>→</v>
      </c>
      <c r="C654" s="11">
        <f t="shared" si="43"/>
        <v>0.14699999999999999</v>
      </c>
      <c r="D654" s="2">
        <v>1658202280414</v>
      </c>
      <c r="E654" t="s">
        <v>0</v>
      </c>
      <c r="F654" s="1" t="s">
        <v>3</v>
      </c>
      <c r="G654" s="1">
        <v>21</v>
      </c>
      <c r="H654" s="1">
        <v>31</v>
      </c>
      <c r="I654" s="1" t="s">
        <v>3</v>
      </c>
      <c r="J654" s="1">
        <v>0</v>
      </c>
      <c r="K654" s="1">
        <v>12</v>
      </c>
      <c r="L654" s="1">
        <v>25</v>
      </c>
      <c r="M654" s="1">
        <v>1</v>
      </c>
      <c r="N654" s="1" t="s">
        <v>4</v>
      </c>
      <c r="O654" s="1">
        <v>0</v>
      </c>
      <c r="P654" s="1" t="s">
        <v>101</v>
      </c>
      <c r="Q654" s="1" t="s">
        <v>108</v>
      </c>
      <c r="R654" t="str">
        <f t="shared" si="44"/>
        <v>TEMPERATURE INFO Set:18 Actual:18.5 Countdown:180</v>
      </c>
    </row>
    <row r="655" spans="1:18" hidden="1" x14ac:dyDescent="0.25">
      <c r="A655" s="3">
        <f t="shared" si="41"/>
        <v>44761.572691493049</v>
      </c>
      <c r="B655" s="8" t="str">
        <f t="shared" si="42"/>
        <v>←</v>
      </c>
      <c r="C655" s="11">
        <f t="shared" si="43"/>
        <v>0.13100000000000001</v>
      </c>
      <c r="D655" s="2">
        <v>1658202280545</v>
      </c>
      <c r="E655" t="s">
        <v>0</v>
      </c>
      <c r="F655" s="1">
        <v>5</v>
      </c>
      <c r="G655" s="1">
        <v>31</v>
      </c>
      <c r="H655" s="1">
        <v>21</v>
      </c>
      <c r="I655" s="1" t="s">
        <v>6</v>
      </c>
      <c r="J655" s="1">
        <v>3</v>
      </c>
      <c r="K655" s="1" t="s">
        <v>7</v>
      </c>
      <c r="R655" t="str">
        <f t="shared" si="44"/>
        <v>Ack</v>
      </c>
    </row>
    <row r="656" spans="1:18" x14ac:dyDescent="0.25">
      <c r="A656" s="3">
        <f t="shared" si="41"/>
        <v>44761.572692696755</v>
      </c>
      <c r="B656" s="8" t="str">
        <f t="shared" si="42"/>
        <v>→</v>
      </c>
      <c r="C656" s="11">
        <f t="shared" si="43"/>
        <v>0.104</v>
      </c>
      <c r="D656" s="2">
        <v>1658202280649</v>
      </c>
      <c r="E656" t="s">
        <v>0</v>
      </c>
      <c r="F656" s="1">
        <v>6</v>
      </c>
      <c r="G656" s="1">
        <v>21</v>
      </c>
      <c r="H656" s="1">
        <v>31</v>
      </c>
      <c r="I656" s="1">
        <v>29</v>
      </c>
      <c r="J656" s="1">
        <v>0</v>
      </c>
      <c r="K656" s="1" t="s">
        <v>13</v>
      </c>
      <c r="L656" s="1" t="s">
        <v>14</v>
      </c>
      <c r="R656" t="str">
        <f t="shared" si="44"/>
        <v>LONG PING FURNACE</v>
      </c>
    </row>
    <row r="657" spans="1:18" hidden="1" x14ac:dyDescent="0.25">
      <c r="A657" s="3">
        <f t="shared" si="41"/>
        <v>44761.572694363422</v>
      </c>
      <c r="B657" s="8" t="str">
        <f t="shared" si="42"/>
        <v>←</v>
      </c>
      <c r="C657" s="11">
        <f t="shared" si="43"/>
        <v>0.14399999999999999</v>
      </c>
      <c r="D657" s="2">
        <v>1658202280793</v>
      </c>
      <c r="E657" t="s">
        <v>0</v>
      </c>
      <c r="F657" s="1">
        <v>5</v>
      </c>
      <c r="G657" s="1">
        <v>31</v>
      </c>
      <c r="H657" s="1">
        <v>21</v>
      </c>
      <c r="I657" s="1" t="s">
        <v>6</v>
      </c>
      <c r="J657" s="1">
        <v>3</v>
      </c>
      <c r="K657" s="1" t="s">
        <v>7</v>
      </c>
      <c r="R657" t="str">
        <f t="shared" si="44"/>
        <v>Ack</v>
      </c>
    </row>
    <row r="658" spans="1:18" hidden="1" x14ac:dyDescent="0.25">
      <c r="A658" s="3">
        <f t="shared" si="41"/>
        <v>44761.572695509261</v>
      </c>
      <c r="B658" s="8" t="str">
        <f t="shared" si="42"/>
        <v>→</v>
      </c>
      <c r="C658" s="11">
        <f t="shared" si="43"/>
        <v>9.9000000000000005E-2</v>
      </c>
      <c r="D658" s="2">
        <v>1658202280892</v>
      </c>
      <c r="E658" t="s">
        <v>0</v>
      </c>
      <c r="F658" s="1">
        <v>5</v>
      </c>
      <c r="G658" s="1">
        <v>21</v>
      </c>
      <c r="H658" s="1">
        <v>31</v>
      </c>
      <c r="I658" s="1">
        <v>6</v>
      </c>
      <c r="J658" s="1">
        <v>60</v>
      </c>
      <c r="K658" s="1">
        <v>83</v>
      </c>
      <c r="R658" t="str">
        <f t="shared" si="44"/>
        <v>FURNACE STATUS REQUEST</v>
      </c>
    </row>
    <row r="659" spans="1:18" hidden="1" x14ac:dyDescent="0.25">
      <c r="A659" s="3">
        <f t="shared" si="41"/>
        <v>44761.572697465272</v>
      </c>
      <c r="B659" s="8" t="str">
        <f t="shared" si="42"/>
        <v>←</v>
      </c>
      <c r="C659" s="11">
        <f t="shared" si="43"/>
        <v>0.16900000000000001</v>
      </c>
      <c r="D659" s="2">
        <v>1658202281061</v>
      </c>
      <c r="E659" t="s">
        <v>0</v>
      </c>
      <c r="F659" s="1">
        <v>9</v>
      </c>
      <c r="G659" s="1">
        <v>31</v>
      </c>
      <c r="H659" s="1">
        <v>21</v>
      </c>
      <c r="I659" s="1" t="s">
        <v>1</v>
      </c>
      <c r="J659" s="1">
        <v>0</v>
      </c>
      <c r="K659" s="1">
        <v>23</v>
      </c>
      <c r="L659" s="1">
        <v>0</v>
      </c>
      <c r="M659" s="1">
        <v>0</v>
      </c>
      <c r="N659" s="1">
        <v>71</v>
      </c>
      <c r="O659" s="1">
        <v>73</v>
      </c>
      <c r="R659" t="str">
        <f t="shared" si="44"/>
        <v>FURNACE STATUS RESPONSE Fan:1 Ignition:1 Burner:0 Unknown:20</v>
      </c>
    </row>
    <row r="660" spans="1:18" hidden="1" x14ac:dyDescent="0.25">
      <c r="A660" s="3">
        <f t="shared" si="41"/>
        <v>44761.572699687495</v>
      </c>
      <c r="B660" s="8" t="str">
        <f t="shared" si="42"/>
        <v>←</v>
      </c>
      <c r="C660" s="11">
        <f t="shared" si="43"/>
        <v>0.192</v>
      </c>
      <c r="D660" s="2">
        <v>1658202281253</v>
      </c>
      <c r="E660" t="s">
        <v>0</v>
      </c>
      <c r="F660" s="1">
        <v>9</v>
      </c>
      <c r="G660" s="1">
        <v>31</v>
      </c>
      <c r="H660" s="1">
        <v>21</v>
      </c>
      <c r="I660" s="1">
        <v>5</v>
      </c>
      <c r="J660" s="1">
        <v>0</v>
      </c>
      <c r="K660" s="1">
        <v>23</v>
      </c>
      <c r="L660" s="1">
        <v>0</v>
      </c>
      <c r="M660" s="1">
        <v>0</v>
      </c>
      <c r="N660" s="1" t="s">
        <v>8</v>
      </c>
      <c r="O660" s="1">
        <v>20</v>
      </c>
      <c r="R660" t="str">
        <f t="shared" si="44"/>
        <v>FURNACE STATUS REPORT Fan:1 Ignition:1 Burner:0 Unknown:20</v>
      </c>
    </row>
    <row r="661" spans="1:18" hidden="1" x14ac:dyDescent="0.25">
      <c r="A661" s="3">
        <f t="shared" si="41"/>
        <v>44761.572700694443</v>
      </c>
      <c r="B661" s="8" t="str">
        <f t="shared" si="42"/>
        <v>→</v>
      </c>
      <c r="C661" s="11">
        <f t="shared" si="43"/>
        <v>8.6999999999999994E-2</v>
      </c>
      <c r="D661" s="2">
        <v>1658202281340</v>
      </c>
      <c r="E661" t="s">
        <v>0</v>
      </c>
      <c r="F661" s="1">
        <v>5</v>
      </c>
      <c r="G661" s="1">
        <v>21</v>
      </c>
      <c r="H661" s="1">
        <v>31</v>
      </c>
      <c r="I661" s="1" t="s">
        <v>6</v>
      </c>
      <c r="J661" s="1">
        <v>62</v>
      </c>
      <c r="K661" s="1">
        <v>95</v>
      </c>
      <c r="R661" t="str">
        <f t="shared" si="44"/>
        <v>Ack</v>
      </c>
    </row>
    <row r="662" spans="1:18" hidden="1" x14ac:dyDescent="0.25">
      <c r="A662" s="3">
        <f t="shared" si="41"/>
        <v>44761.573320057869</v>
      </c>
      <c r="B662" s="8" t="str">
        <f t="shared" si="42"/>
        <v>←</v>
      </c>
      <c r="C662" s="11">
        <f t="shared" si="43"/>
        <v>53.512999999999998</v>
      </c>
      <c r="D662" s="2">
        <v>1658202334853</v>
      </c>
      <c r="E662" t="s">
        <v>0</v>
      </c>
      <c r="F662" s="1">
        <v>9</v>
      </c>
      <c r="G662" s="1">
        <v>31</v>
      </c>
      <c r="H662" s="1">
        <v>21</v>
      </c>
      <c r="I662" s="1">
        <v>5</v>
      </c>
      <c r="J662" s="1">
        <v>0</v>
      </c>
      <c r="K662" s="1">
        <v>21</v>
      </c>
      <c r="L662" s="1">
        <v>0</v>
      </c>
      <c r="M662" s="1">
        <v>0</v>
      </c>
      <c r="N662" s="1">
        <v>59</v>
      </c>
      <c r="O662" s="1" t="s">
        <v>3</v>
      </c>
      <c r="R662" t="str">
        <f t="shared" si="44"/>
        <v>FURNACE STATUS REPORT Fan:1 Ignition:0 Burner:0 Unknown:20</v>
      </c>
    </row>
    <row r="663" spans="1:18" hidden="1" x14ac:dyDescent="0.25">
      <c r="A663" s="3">
        <f t="shared" si="41"/>
        <v>44761.573320891206</v>
      </c>
      <c r="B663" s="8" t="str">
        <f t="shared" si="42"/>
        <v>→</v>
      </c>
      <c r="C663" s="11">
        <f t="shared" si="43"/>
        <v>7.1999999999999995E-2</v>
      </c>
      <c r="D663" s="2">
        <v>1658202334925</v>
      </c>
      <c r="E663" t="s">
        <v>0</v>
      </c>
      <c r="F663" s="1">
        <v>5</v>
      </c>
      <c r="G663" s="1">
        <v>21</v>
      </c>
      <c r="H663" s="1">
        <v>31</v>
      </c>
      <c r="I663" s="1" t="s">
        <v>6</v>
      </c>
      <c r="J663" s="1">
        <v>62</v>
      </c>
      <c r="K663" s="1">
        <v>95</v>
      </c>
      <c r="R663" t="str">
        <f t="shared" si="44"/>
        <v>Ack</v>
      </c>
    </row>
    <row r="664" spans="1:18" hidden="1" x14ac:dyDescent="0.25">
      <c r="A664" s="3">
        <f t="shared" si="41"/>
        <v>44761.573323252313</v>
      </c>
      <c r="B664" s="8" t="str">
        <f t="shared" si="42"/>
        <v>←</v>
      </c>
      <c r="C664" s="11">
        <f t="shared" si="43"/>
        <v>0.20399999999999999</v>
      </c>
      <c r="D664" s="2">
        <v>1658202335129</v>
      </c>
      <c r="E664" t="s">
        <v>0</v>
      </c>
      <c r="F664" s="1">
        <v>9</v>
      </c>
      <c r="G664" s="1">
        <v>31</v>
      </c>
      <c r="H664" s="1">
        <v>21</v>
      </c>
      <c r="I664" s="1">
        <v>5</v>
      </c>
      <c r="J664" s="1">
        <v>0</v>
      </c>
      <c r="K664" s="1">
        <v>1</v>
      </c>
      <c r="L664" s="1">
        <v>0</v>
      </c>
      <c r="M664" s="1">
        <v>0</v>
      </c>
      <c r="N664" s="1" t="s">
        <v>15</v>
      </c>
      <c r="O664" s="1">
        <v>88</v>
      </c>
      <c r="R664" t="str">
        <f t="shared" si="44"/>
        <v>FURNACE STATUS REPORT Fan:1 Ignition:0 Burner:0 Unknown:0</v>
      </c>
    </row>
    <row r="665" spans="1:18" hidden="1" x14ac:dyDescent="0.25">
      <c r="A665" s="3">
        <f t="shared" si="41"/>
        <v>44761.57332427083</v>
      </c>
      <c r="B665" s="8" t="str">
        <f t="shared" si="42"/>
        <v>→</v>
      </c>
      <c r="C665" s="11">
        <f t="shared" si="43"/>
        <v>8.7999999999999995E-2</v>
      </c>
      <c r="D665" s="2">
        <v>1658202335217</v>
      </c>
      <c r="E665" t="s">
        <v>0</v>
      </c>
      <c r="F665" s="1">
        <v>5</v>
      </c>
      <c r="G665" s="1">
        <v>21</v>
      </c>
      <c r="H665" s="1">
        <v>31</v>
      </c>
      <c r="I665" s="1" t="s">
        <v>6</v>
      </c>
      <c r="J665" s="1">
        <v>62</v>
      </c>
      <c r="K665" s="1">
        <v>95</v>
      </c>
      <c r="R665" t="str">
        <f t="shared" si="44"/>
        <v>Ack</v>
      </c>
    </row>
    <row r="666" spans="1:18" hidden="1" x14ac:dyDescent="0.25">
      <c r="A666" s="3">
        <f t="shared" si="41"/>
        <v>44761.573375474538</v>
      </c>
      <c r="B666" s="8" t="str">
        <f t="shared" si="42"/>
        <v>→</v>
      </c>
      <c r="C666" s="11">
        <f t="shared" si="43"/>
        <v>4.4240000000000004</v>
      </c>
      <c r="D666" s="2">
        <v>1658202339641</v>
      </c>
      <c r="E666" t="s">
        <v>0</v>
      </c>
      <c r="F666" s="1">
        <v>8</v>
      </c>
      <c r="G666" s="1">
        <v>21</v>
      </c>
      <c r="H666" s="1">
        <v>31</v>
      </c>
      <c r="I666" s="1">
        <v>7</v>
      </c>
      <c r="J666" s="1" t="s">
        <v>70</v>
      </c>
      <c r="K666" s="1">
        <v>28</v>
      </c>
      <c r="L666" s="1">
        <v>1</v>
      </c>
      <c r="M666" s="1">
        <v>64</v>
      </c>
      <c r="N666" s="1" t="s">
        <v>109</v>
      </c>
      <c r="R666" t="str">
        <f t="shared" si="44"/>
        <v>TIME 13:40 Tue</v>
      </c>
    </row>
    <row r="667" spans="1:18" hidden="1" x14ac:dyDescent="0.25">
      <c r="A667" s="3">
        <f t="shared" si="41"/>
        <v>44761.573376990738</v>
      </c>
      <c r="B667" s="8" t="str">
        <f t="shared" si="42"/>
        <v>←</v>
      </c>
      <c r="C667" s="11">
        <f t="shared" si="43"/>
        <v>0.13100000000000001</v>
      </c>
      <c r="D667" s="2">
        <v>1658202339772</v>
      </c>
      <c r="E667" t="s">
        <v>0</v>
      </c>
      <c r="F667" s="1">
        <v>5</v>
      </c>
      <c r="G667" s="1">
        <v>31</v>
      </c>
      <c r="H667" s="1">
        <v>21</v>
      </c>
      <c r="I667" s="1" t="s">
        <v>6</v>
      </c>
      <c r="J667" s="1">
        <v>3</v>
      </c>
      <c r="K667" s="1" t="s">
        <v>7</v>
      </c>
      <c r="R667" t="str">
        <f t="shared" si="44"/>
        <v>Ack</v>
      </c>
    </row>
    <row r="668" spans="1:18" hidden="1" x14ac:dyDescent="0.25">
      <c r="A668" s="3">
        <f t="shared" si="41"/>
        <v>44761.573378587964</v>
      </c>
      <c r="B668" s="8" t="str">
        <f t="shared" si="42"/>
        <v>→</v>
      </c>
      <c r="C668" s="11">
        <f t="shared" si="43"/>
        <v>0.13800000000000001</v>
      </c>
      <c r="D668" s="2">
        <v>1658202339910</v>
      </c>
      <c r="E668" t="s">
        <v>0</v>
      </c>
      <c r="F668" s="1">
        <v>5</v>
      </c>
      <c r="G668" s="1">
        <v>21</v>
      </c>
      <c r="H668" s="1">
        <v>31</v>
      </c>
      <c r="I668" s="1">
        <v>9</v>
      </c>
      <c r="J668" s="1">
        <v>60</v>
      </c>
      <c r="K668" s="1" t="s">
        <v>11</v>
      </c>
      <c r="R668" t="str">
        <f t="shared" si="44"/>
        <v>PING FURNACE</v>
      </c>
    </row>
    <row r="669" spans="1:18" hidden="1" x14ac:dyDescent="0.25">
      <c r="A669" s="3">
        <f t="shared" si="41"/>
        <v>44761.57337961805</v>
      </c>
      <c r="B669" s="8" t="str">
        <f t="shared" si="42"/>
        <v>←</v>
      </c>
      <c r="C669" s="11">
        <f t="shared" si="43"/>
        <v>8.8999999999999996E-2</v>
      </c>
      <c r="D669" s="2">
        <v>1658202339999</v>
      </c>
      <c r="E669" t="s">
        <v>0</v>
      </c>
      <c r="F669" s="1">
        <v>5</v>
      </c>
      <c r="G669" s="1">
        <v>31</v>
      </c>
      <c r="H669" s="1">
        <v>21</v>
      </c>
      <c r="I669" s="1" t="s">
        <v>6</v>
      </c>
      <c r="J669" s="1">
        <v>3</v>
      </c>
      <c r="K669" s="1" t="s">
        <v>7</v>
      </c>
      <c r="R669" t="str">
        <f t="shared" si="44"/>
        <v>Ack</v>
      </c>
    </row>
    <row r="670" spans="1:18" hidden="1" x14ac:dyDescent="0.25">
      <c r="A670" s="3">
        <f t="shared" si="41"/>
        <v>44761.573381481481</v>
      </c>
      <c r="B670" s="8" t="str">
        <f t="shared" si="42"/>
        <v>→</v>
      </c>
      <c r="C670" s="11">
        <f t="shared" si="43"/>
        <v>0.161</v>
      </c>
      <c r="D670" s="2">
        <v>1658202340160</v>
      </c>
      <c r="E670" t="s">
        <v>0</v>
      </c>
      <c r="F670" s="1" t="s">
        <v>3</v>
      </c>
      <c r="G670" s="1">
        <v>21</v>
      </c>
      <c r="H670" s="1">
        <v>31</v>
      </c>
      <c r="I670" s="1" t="s">
        <v>3</v>
      </c>
      <c r="J670" s="1">
        <v>0</v>
      </c>
      <c r="K670" s="1">
        <v>12</v>
      </c>
      <c r="L670" s="1">
        <v>25</v>
      </c>
      <c r="M670" s="1">
        <v>1</v>
      </c>
      <c r="N670" s="1">
        <v>78</v>
      </c>
      <c r="O670" s="1">
        <v>0</v>
      </c>
      <c r="P670" s="1" t="s">
        <v>102</v>
      </c>
      <c r="Q670" s="1">
        <v>84</v>
      </c>
      <c r="R670" t="str">
        <f t="shared" si="44"/>
        <v>TEMPERATURE INFO Set:18 Actual:18.5 Countdown:120</v>
      </c>
    </row>
    <row r="671" spans="1:18" hidden="1" x14ac:dyDescent="0.25">
      <c r="A671" s="3">
        <f t="shared" si="41"/>
        <v>44761.573382835646</v>
      </c>
      <c r="B671" s="8" t="str">
        <f t="shared" si="42"/>
        <v>←</v>
      </c>
      <c r="C671" s="11">
        <f t="shared" si="43"/>
        <v>0.11700000000000001</v>
      </c>
      <c r="D671" s="2">
        <v>1658202340277</v>
      </c>
      <c r="E671" t="s">
        <v>0</v>
      </c>
      <c r="F671" s="1">
        <v>5</v>
      </c>
      <c r="G671" s="1">
        <v>31</v>
      </c>
      <c r="H671" s="1">
        <v>21</v>
      </c>
      <c r="I671" s="1" t="s">
        <v>6</v>
      </c>
      <c r="J671" s="1">
        <v>3</v>
      </c>
      <c r="K671" s="1" t="s">
        <v>7</v>
      </c>
      <c r="R671" t="str">
        <f t="shared" si="44"/>
        <v>Ack</v>
      </c>
    </row>
    <row r="672" spans="1:18" x14ac:dyDescent="0.25">
      <c r="A672" s="3">
        <f t="shared" si="41"/>
        <v>44761.573384062496</v>
      </c>
      <c r="B672" s="8" t="str">
        <f t="shared" si="42"/>
        <v>→</v>
      </c>
      <c r="C672" s="11">
        <f t="shared" si="43"/>
        <v>0.106</v>
      </c>
      <c r="D672" s="2">
        <v>1658202340383</v>
      </c>
      <c r="E672" t="s">
        <v>0</v>
      </c>
      <c r="F672" s="1">
        <v>6</v>
      </c>
      <c r="G672" s="1">
        <v>21</v>
      </c>
      <c r="H672" s="1">
        <v>31</v>
      </c>
      <c r="I672" s="1">
        <v>29</v>
      </c>
      <c r="J672" s="1">
        <v>0</v>
      </c>
      <c r="K672" s="1" t="s">
        <v>13</v>
      </c>
      <c r="L672" s="1" t="s">
        <v>14</v>
      </c>
      <c r="R672" t="str">
        <f t="shared" si="44"/>
        <v>LONG PING FURNACE</v>
      </c>
    </row>
    <row r="673" spans="1:18" hidden="1" x14ac:dyDescent="0.25">
      <c r="A673" s="3">
        <f t="shared" si="41"/>
        <v>44761.573385219905</v>
      </c>
      <c r="B673" s="8" t="str">
        <f t="shared" si="42"/>
        <v>←</v>
      </c>
      <c r="C673" s="11">
        <f t="shared" si="43"/>
        <v>0.1</v>
      </c>
      <c r="D673" s="2">
        <v>1658202340483</v>
      </c>
      <c r="E673" t="s">
        <v>0</v>
      </c>
      <c r="F673" s="1">
        <v>5</v>
      </c>
      <c r="G673" s="1">
        <v>31</v>
      </c>
      <c r="H673" s="1">
        <v>21</v>
      </c>
      <c r="I673" s="1" t="s">
        <v>6</v>
      </c>
      <c r="J673" s="1">
        <v>3</v>
      </c>
      <c r="K673" s="1" t="s">
        <v>7</v>
      </c>
      <c r="R673" t="str">
        <f t="shared" si="44"/>
        <v>Ack</v>
      </c>
    </row>
    <row r="674" spans="1:18" hidden="1" x14ac:dyDescent="0.25">
      <c r="A674" s="3">
        <f t="shared" ref="A674:A737" si="45">D674/(1000*60*60*24)+25569+10/24</f>
        <v>44761.573386342592</v>
      </c>
      <c r="B674" s="8" t="str">
        <f t="shared" ref="B674:B737" si="46">IF(AND(G674=21,H674=31),"→",IF(AND(G674=31,H674=21),"←","Error"))</f>
        <v>→</v>
      </c>
      <c r="C674" s="11">
        <f t="shared" ref="C674:C737" si="47">(D674-D673)/1000</f>
        <v>9.7000000000000003E-2</v>
      </c>
      <c r="D674" s="2">
        <v>1658202340580</v>
      </c>
      <c r="E674" t="s">
        <v>0</v>
      </c>
      <c r="F674" s="1">
        <v>5</v>
      </c>
      <c r="G674" s="1">
        <v>21</v>
      </c>
      <c r="H674" s="1">
        <v>31</v>
      </c>
      <c r="I674" s="1">
        <v>6</v>
      </c>
      <c r="J674" s="1">
        <v>60</v>
      </c>
      <c r="K674" s="1">
        <v>83</v>
      </c>
      <c r="R674" t="str">
        <f t="shared" si="44"/>
        <v>FURNACE STATUS REQUEST</v>
      </c>
    </row>
    <row r="675" spans="1:18" hidden="1" x14ac:dyDescent="0.25">
      <c r="A675" s="3">
        <f t="shared" si="45"/>
        <v>44761.57338829861</v>
      </c>
      <c r="B675" s="8" t="str">
        <f t="shared" si="46"/>
        <v>←</v>
      </c>
      <c r="C675" s="11">
        <f t="shared" si="47"/>
        <v>0.16900000000000001</v>
      </c>
      <c r="D675" s="2">
        <v>1658202340749</v>
      </c>
      <c r="E675" t="s">
        <v>0</v>
      </c>
      <c r="F675" s="1">
        <v>9</v>
      </c>
      <c r="G675" s="1">
        <v>31</v>
      </c>
      <c r="H675" s="1">
        <v>21</v>
      </c>
      <c r="I675" s="1" t="s">
        <v>1</v>
      </c>
      <c r="J675" s="1">
        <v>0</v>
      </c>
      <c r="K675" s="1">
        <v>1</v>
      </c>
      <c r="L675" s="1">
        <v>0</v>
      </c>
      <c r="M675" s="1">
        <v>0</v>
      </c>
      <c r="N675" s="1">
        <v>73</v>
      </c>
      <c r="O675" s="1" t="s">
        <v>15</v>
      </c>
      <c r="R675" t="str">
        <f t="shared" si="44"/>
        <v>FURNACE STATUS RESPONSE Fan:1 Ignition:0 Burner:0 Unknown:0</v>
      </c>
    </row>
    <row r="676" spans="1:18" hidden="1" x14ac:dyDescent="0.25">
      <c r="A676" s="3">
        <f t="shared" si="45"/>
        <v>44761.573628171296</v>
      </c>
      <c r="B676" s="8" t="str">
        <f t="shared" si="46"/>
        <v>←</v>
      </c>
      <c r="C676" s="11">
        <f t="shared" si="47"/>
        <v>20.725000000000001</v>
      </c>
      <c r="D676" s="2">
        <v>1658202361474</v>
      </c>
      <c r="E676" t="s">
        <v>0</v>
      </c>
      <c r="F676" s="1">
        <v>9</v>
      </c>
      <c r="G676" s="1">
        <v>31</v>
      </c>
      <c r="H676" s="1">
        <v>21</v>
      </c>
      <c r="I676" s="1">
        <v>5</v>
      </c>
      <c r="J676" s="1">
        <v>0</v>
      </c>
      <c r="K676" s="1">
        <v>0</v>
      </c>
      <c r="L676" s="1">
        <v>0</v>
      </c>
      <c r="M676" s="1">
        <v>0</v>
      </c>
      <c r="N676" s="1" t="s">
        <v>19</v>
      </c>
      <c r="O676" s="1" t="s">
        <v>20</v>
      </c>
      <c r="R676" t="str">
        <f t="shared" si="44"/>
        <v>FURNACE STATUS REPORT Fan:0 Ignition:0 Burner:0 Unknown:0</v>
      </c>
    </row>
    <row r="677" spans="1:18" hidden="1" x14ac:dyDescent="0.25">
      <c r="A677" s="3">
        <f t="shared" si="45"/>
        <v>44761.573629131941</v>
      </c>
      <c r="B677" s="8" t="str">
        <f t="shared" si="46"/>
        <v>→</v>
      </c>
      <c r="C677" s="11">
        <f t="shared" si="47"/>
        <v>8.3000000000000004E-2</v>
      </c>
      <c r="D677" s="2">
        <v>1658202361557</v>
      </c>
      <c r="E677" t="s">
        <v>0</v>
      </c>
      <c r="F677" s="1">
        <v>5</v>
      </c>
      <c r="G677" s="1">
        <v>21</v>
      </c>
      <c r="H677" s="1">
        <v>31</v>
      </c>
      <c r="I677" s="1" t="s">
        <v>6</v>
      </c>
      <c r="J677" s="1">
        <v>62</v>
      </c>
      <c r="K677" s="1">
        <v>95</v>
      </c>
      <c r="R677" t="str">
        <f t="shared" si="44"/>
        <v>Ack</v>
      </c>
    </row>
    <row r="678" spans="1:18" hidden="1" x14ac:dyDescent="0.25">
      <c r="A678" s="3">
        <f t="shared" si="45"/>
        <v>44761.574069733797</v>
      </c>
      <c r="B678" s="8" t="str">
        <f t="shared" si="46"/>
        <v>→</v>
      </c>
      <c r="C678" s="11">
        <f t="shared" si="47"/>
        <v>38.067999999999998</v>
      </c>
      <c r="D678" s="2">
        <v>1658202399625</v>
      </c>
      <c r="E678" t="s">
        <v>0</v>
      </c>
      <c r="F678" s="1">
        <v>8</v>
      </c>
      <c r="G678" s="1">
        <v>21</v>
      </c>
      <c r="H678" s="1">
        <v>31</v>
      </c>
      <c r="I678" s="1">
        <v>7</v>
      </c>
      <c r="J678" s="1" t="s">
        <v>70</v>
      </c>
      <c r="K678" s="1">
        <v>29</v>
      </c>
      <c r="L678" s="1">
        <v>1</v>
      </c>
      <c r="M678" s="1" t="s">
        <v>45</v>
      </c>
      <c r="N678" s="1" t="s">
        <v>57</v>
      </c>
      <c r="R678" t="str">
        <f t="shared" si="44"/>
        <v>TIME 13:41 Tue</v>
      </c>
    </row>
    <row r="679" spans="1:18" hidden="1" x14ac:dyDescent="0.25">
      <c r="A679" s="3">
        <f t="shared" si="45"/>
        <v>44761.574071273142</v>
      </c>
      <c r="B679" s="8" t="str">
        <f t="shared" si="46"/>
        <v>←</v>
      </c>
      <c r="C679" s="11">
        <f t="shared" si="47"/>
        <v>0.13300000000000001</v>
      </c>
      <c r="D679" s="2">
        <v>1658202399758</v>
      </c>
      <c r="E679" t="s">
        <v>0</v>
      </c>
      <c r="F679" s="1">
        <v>5</v>
      </c>
      <c r="G679" s="1">
        <v>31</v>
      </c>
      <c r="H679" s="1">
        <v>21</v>
      </c>
      <c r="I679" s="1" t="s">
        <v>6</v>
      </c>
      <c r="J679" s="1">
        <v>3</v>
      </c>
      <c r="K679" s="1" t="s">
        <v>7</v>
      </c>
      <c r="R679" t="str">
        <f t="shared" si="44"/>
        <v>Ack</v>
      </c>
    </row>
    <row r="680" spans="1:18" hidden="1" x14ac:dyDescent="0.25">
      <c r="A680" s="3">
        <f t="shared" si="45"/>
        <v>44761.57407239583</v>
      </c>
      <c r="B680" s="8" t="str">
        <f t="shared" si="46"/>
        <v>→</v>
      </c>
      <c r="C680" s="11">
        <f t="shared" si="47"/>
        <v>9.7000000000000003E-2</v>
      </c>
      <c r="D680" s="2">
        <v>1658202399855</v>
      </c>
      <c r="E680" t="s">
        <v>0</v>
      </c>
      <c r="F680" s="1">
        <v>5</v>
      </c>
      <c r="G680" s="1">
        <v>21</v>
      </c>
      <c r="H680" s="1">
        <v>31</v>
      </c>
      <c r="I680" s="1">
        <v>9</v>
      </c>
      <c r="J680" s="1">
        <v>60</v>
      </c>
      <c r="K680" s="1" t="s">
        <v>11</v>
      </c>
      <c r="R680" t="str">
        <f t="shared" si="44"/>
        <v>PING FURNACE</v>
      </c>
    </row>
    <row r="681" spans="1:18" hidden="1" x14ac:dyDescent="0.25">
      <c r="A681" s="3">
        <f t="shared" si="45"/>
        <v>44761.574073634256</v>
      </c>
      <c r="B681" s="8" t="str">
        <f t="shared" si="46"/>
        <v>←</v>
      </c>
      <c r="C681" s="11">
        <f t="shared" si="47"/>
        <v>0.107</v>
      </c>
      <c r="D681" s="2">
        <v>1658202399962</v>
      </c>
      <c r="E681" t="s">
        <v>0</v>
      </c>
      <c r="F681" s="1">
        <v>5</v>
      </c>
      <c r="G681" s="1">
        <v>31</v>
      </c>
      <c r="H681" s="1">
        <v>21</v>
      </c>
      <c r="I681" s="1" t="s">
        <v>6</v>
      </c>
      <c r="J681" s="1">
        <v>3</v>
      </c>
      <c r="K681" s="1" t="s">
        <v>7</v>
      </c>
      <c r="R681" t="str">
        <f t="shared" si="44"/>
        <v>Ack</v>
      </c>
    </row>
    <row r="682" spans="1:18" hidden="1" x14ac:dyDescent="0.25">
      <c r="A682" s="3">
        <f t="shared" si="45"/>
        <v>44761.574075567129</v>
      </c>
      <c r="B682" s="8" t="str">
        <f t="shared" si="46"/>
        <v>→</v>
      </c>
      <c r="C682" s="11">
        <f t="shared" si="47"/>
        <v>0.16700000000000001</v>
      </c>
      <c r="D682" s="2">
        <v>1658202400129</v>
      </c>
      <c r="E682" t="s">
        <v>0</v>
      </c>
      <c r="F682" s="1" t="s">
        <v>3</v>
      </c>
      <c r="G682" s="1">
        <v>21</v>
      </c>
      <c r="H682" s="1">
        <v>31</v>
      </c>
      <c r="I682" s="1" t="s">
        <v>3</v>
      </c>
      <c r="J682" s="1">
        <v>0</v>
      </c>
      <c r="K682" s="1">
        <v>12</v>
      </c>
      <c r="L682" s="1">
        <v>25</v>
      </c>
      <c r="M682" s="1">
        <v>1</v>
      </c>
      <c r="N682" s="1">
        <v>46</v>
      </c>
      <c r="O682" s="1">
        <v>0</v>
      </c>
      <c r="P682" s="1" t="s">
        <v>60</v>
      </c>
      <c r="Q682" s="1">
        <v>87</v>
      </c>
      <c r="R682" t="str">
        <f t="shared" si="44"/>
        <v>TEMPERATURE INFO Set:18 Actual:18.5 Countdown:70</v>
      </c>
    </row>
    <row r="683" spans="1:18" hidden="1" x14ac:dyDescent="0.25">
      <c r="A683" s="3">
        <f t="shared" si="45"/>
        <v>44761.574076770827</v>
      </c>
      <c r="B683" s="8" t="str">
        <f t="shared" si="46"/>
        <v>←</v>
      </c>
      <c r="C683" s="11">
        <f t="shared" si="47"/>
        <v>0.104</v>
      </c>
      <c r="D683" s="2">
        <v>1658202400233</v>
      </c>
      <c r="E683" t="s">
        <v>0</v>
      </c>
      <c r="F683" s="1">
        <v>5</v>
      </c>
      <c r="G683" s="1">
        <v>31</v>
      </c>
      <c r="H683" s="1">
        <v>21</v>
      </c>
      <c r="I683" s="1" t="s">
        <v>6</v>
      </c>
      <c r="J683" s="1">
        <v>3</v>
      </c>
      <c r="K683" s="1" t="s">
        <v>7</v>
      </c>
      <c r="R683" t="str">
        <f t="shared" si="44"/>
        <v>Ack</v>
      </c>
    </row>
    <row r="684" spans="1:18" x14ac:dyDescent="0.25">
      <c r="A684" s="3">
        <f t="shared" si="45"/>
        <v>44761.574078078702</v>
      </c>
      <c r="B684" s="8" t="str">
        <f t="shared" si="46"/>
        <v>→</v>
      </c>
      <c r="C684" s="11">
        <f t="shared" si="47"/>
        <v>0.113</v>
      </c>
      <c r="D684" s="2">
        <v>1658202400346</v>
      </c>
      <c r="E684" t="s">
        <v>0</v>
      </c>
      <c r="F684" s="1">
        <v>6</v>
      </c>
      <c r="G684" s="1">
        <v>21</v>
      </c>
      <c r="H684" s="1">
        <v>31</v>
      </c>
      <c r="I684" s="1">
        <v>29</v>
      </c>
      <c r="J684" s="1">
        <v>0</v>
      </c>
      <c r="K684" s="1" t="s">
        <v>13</v>
      </c>
      <c r="L684" s="1" t="s">
        <v>14</v>
      </c>
      <c r="R684" t="str">
        <f t="shared" si="44"/>
        <v>LONG PING FURNACE</v>
      </c>
    </row>
    <row r="685" spans="1:18" hidden="1" x14ac:dyDescent="0.25">
      <c r="A685" s="3">
        <f t="shared" si="45"/>
        <v>44761.574079537029</v>
      </c>
      <c r="B685" s="8" t="str">
        <f t="shared" si="46"/>
        <v>←</v>
      </c>
      <c r="C685" s="11">
        <f t="shared" si="47"/>
        <v>0.126</v>
      </c>
      <c r="D685" s="2">
        <v>1658202400472</v>
      </c>
      <c r="E685" t="s">
        <v>0</v>
      </c>
      <c r="F685" s="1">
        <v>5</v>
      </c>
      <c r="G685" s="1">
        <v>31</v>
      </c>
      <c r="H685" s="1">
        <v>21</v>
      </c>
      <c r="I685" s="1" t="s">
        <v>6</v>
      </c>
      <c r="J685" s="1">
        <v>3</v>
      </c>
      <c r="K685" s="1" t="s">
        <v>7</v>
      </c>
      <c r="R685" t="str">
        <f t="shared" si="44"/>
        <v>Ack</v>
      </c>
    </row>
    <row r="686" spans="1:18" hidden="1" x14ac:dyDescent="0.25">
      <c r="A686" s="3">
        <f t="shared" si="45"/>
        <v>44761.574080729166</v>
      </c>
      <c r="B686" s="8" t="str">
        <f t="shared" si="46"/>
        <v>→</v>
      </c>
      <c r="C686" s="11">
        <f t="shared" si="47"/>
        <v>0.10299999999999999</v>
      </c>
      <c r="D686" s="2">
        <v>1658202400575</v>
      </c>
      <c r="E686" t="s">
        <v>0</v>
      </c>
      <c r="F686" s="1">
        <v>5</v>
      </c>
      <c r="G686" s="1">
        <v>21</v>
      </c>
      <c r="H686" s="1">
        <v>31</v>
      </c>
      <c r="I686" s="1">
        <v>6</v>
      </c>
      <c r="J686" s="1">
        <v>60</v>
      </c>
      <c r="K686" s="1">
        <v>83</v>
      </c>
      <c r="R686" t="str">
        <f t="shared" si="44"/>
        <v>FURNACE STATUS REQUEST</v>
      </c>
    </row>
    <row r="687" spans="1:18" hidden="1" x14ac:dyDescent="0.25">
      <c r="A687" s="3">
        <f t="shared" si="45"/>
        <v>44761.574082430554</v>
      </c>
      <c r="B687" s="8" t="str">
        <f t="shared" si="46"/>
        <v>←</v>
      </c>
      <c r="C687" s="11">
        <f t="shared" si="47"/>
        <v>0.14699999999999999</v>
      </c>
      <c r="D687" s="2">
        <v>1658202400722</v>
      </c>
      <c r="E687" t="s">
        <v>0</v>
      </c>
      <c r="F687" s="1">
        <v>9</v>
      </c>
      <c r="G687" s="1">
        <v>31</v>
      </c>
      <c r="H687" s="1">
        <v>21</v>
      </c>
      <c r="I687" s="1" t="s">
        <v>1</v>
      </c>
      <c r="J687" s="1">
        <v>0</v>
      </c>
      <c r="K687" s="1">
        <v>0</v>
      </c>
      <c r="L687" s="1">
        <v>0</v>
      </c>
      <c r="M687" s="1">
        <v>0</v>
      </c>
      <c r="N687" s="1" t="s">
        <v>21</v>
      </c>
      <c r="O687" s="1" t="s">
        <v>22</v>
      </c>
      <c r="R687" t="str">
        <f t="shared" si="44"/>
        <v>FURNACE STATUS RESPONSE Fan:0 Ignition:0 Burner:0 Unknown:0</v>
      </c>
    </row>
    <row r="688" spans="1:18" hidden="1" x14ac:dyDescent="0.25">
      <c r="A688" s="3">
        <f t="shared" si="45"/>
        <v>44761.574764444442</v>
      </c>
      <c r="B688" s="8" t="str">
        <f t="shared" si="46"/>
        <v>→</v>
      </c>
      <c r="C688" s="11">
        <f t="shared" si="47"/>
        <v>58.926000000000002</v>
      </c>
      <c r="D688" s="2">
        <v>1658202459648</v>
      </c>
      <c r="E688" t="s">
        <v>0</v>
      </c>
      <c r="F688" s="1">
        <v>8</v>
      </c>
      <c r="G688" s="1">
        <v>21</v>
      </c>
      <c r="H688" s="1">
        <v>31</v>
      </c>
      <c r="I688" s="1">
        <v>7</v>
      </c>
      <c r="J688" s="1" t="s">
        <v>70</v>
      </c>
      <c r="K688" s="1" t="s">
        <v>46</v>
      </c>
      <c r="L688" s="1">
        <v>1</v>
      </c>
      <c r="M688" s="1" t="s">
        <v>47</v>
      </c>
      <c r="N688" s="1" t="s">
        <v>57</v>
      </c>
      <c r="R688" t="str">
        <f t="shared" si="44"/>
        <v>TIME 13:42 Tue</v>
      </c>
    </row>
    <row r="689" spans="1:18" hidden="1" x14ac:dyDescent="0.25">
      <c r="A689" s="3">
        <f t="shared" si="45"/>
        <v>44761.574765729165</v>
      </c>
      <c r="B689" s="8" t="str">
        <f t="shared" si="46"/>
        <v>←</v>
      </c>
      <c r="C689" s="11">
        <f t="shared" si="47"/>
        <v>0.111</v>
      </c>
      <c r="D689" s="2">
        <v>1658202459759</v>
      </c>
      <c r="E689" t="s">
        <v>0</v>
      </c>
      <c r="F689" s="1">
        <v>5</v>
      </c>
      <c r="G689" s="1">
        <v>31</v>
      </c>
      <c r="H689" s="1">
        <v>21</v>
      </c>
      <c r="I689" s="1" t="s">
        <v>6</v>
      </c>
      <c r="J689" s="1">
        <v>3</v>
      </c>
      <c r="K689" s="1" t="s">
        <v>7</v>
      </c>
      <c r="R689" t="str">
        <f t="shared" si="44"/>
        <v>Ack</v>
      </c>
    </row>
    <row r="690" spans="1:18" hidden="1" x14ac:dyDescent="0.25">
      <c r="A690" s="3">
        <f t="shared" si="45"/>
        <v>44761.574766990736</v>
      </c>
      <c r="B690" s="8" t="str">
        <f t="shared" si="46"/>
        <v>→</v>
      </c>
      <c r="C690" s="11">
        <f t="shared" si="47"/>
        <v>0.109</v>
      </c>
      <c r="D690" s="2">
        <v>1658202459868</v>
      </c>
      <c r="E690" t="s">
        <v>0</v>
      </c>
      <c r="F690" s="1">
        <v>5</v>
      </c>
      <c r="G690" s="1">
        <v>21</v>
      </c>
      <c r="H690" s="1">
        <v>31</v>
      </c>
      <c r="I690" s="1">
        <v>9</v>
      </c>
      <c r="J690" s="1">
        <v>60</v>
      </c>
      <c r="K690" s="1" t="s">
        <v>11</v>
      </c>
      <c r="R690" t="str">
        <f t="shared" si="44"/>
        <v>PING FURNACE</v>
      </c>
    </row>
    <row r="691" spans="1:18" hidden="1" x14ac:dyDescent="0.25">
      <c r="A691" s="3">
        <f t="shared" si="45"/>
        <v>44761.574768576385</v>
      </c>
      <c r="B691" s="8" t="str">
        <f t="shared" si="46"/>
        <v>←</v>
      </c>
      <c r="C691" s="11">
        <f t="shared" si="47"/>
        <v>0.13700000000000001</v>
      </c>
      <c r="D691" s="2">
        <v>1658202460005</v>
      </c>
      <c r="E691" t="s">
        <v>0</v>
      </c>
      <c r="F691" s="1">
        <v>5</v>
      </c>
      <c r="G691" s="1">
        <v>31</v>
      </c>
      <c r="H691" s="1">
        <v>21</v>
      </c>
      <c r="I691" s="1" t="s">
        <v>6</v>
      </c>
      <c r="J691" s="1">
        <v>3</v>
      </c>
      <c r="K691" s="1" t="s">
        <v>7</v>
      </c>
      <c r="R691" t="str">
        <f t="shared" si="44"/>
        <v>Ack</v>
      </c>
    </row>
    <row r="692" spans="1:18" hidden="1" x14ac:dyDescent="0.25">
      <c r="A692" s="3">
        <f t="shared" si="45"/>
        <v>44761.574770393512</v>
      </c>
      <c r="B692" s="8" t="str">
        <f t="shared" si="46"/>
        <v>→</v>
      </c>
      <c r="C692" s="11">
        <f t="shared" si="47"/>
        <v>0.157</v>
      </c>
      <c r="D692" s="2">
        <v>1658202460162</v>
      </c>
      <c r="E692" t="s">
        <v>0</v>
      </c>
      <c r="F692" s="1" t="s">
        <v>3</v>
      </c>
      <c r="G692" s="1">
        <v>21</v>
      </c>
      <c r="H692" s="1">
        <v>31</v>
      </c>
      <c r="I692" s="1" t="s">
        <v>3</v>
      </c>
      <c r="J692" s="1">
        <v>0</v>
      </c>
      <c r="K692" s="1">
        <v>12</v>
      </c>
      <c r="L692" s="1">
        <v>25</v>
      </c>
      <c r="M692" s="1">
        <v>1</v>
      </c>
      <c r="N692" s="1" t="s">
        <v>9</v>
      </c>
      <c r="O692" s="1">
        <v>0</v>
      </c>
      <c r="P692" s="1" t="s">
        <v>72</v>
      </c>
      <c r="Q692" s="1">
        <v>81</v>
      </c>
      <c r="R692" t="str">
        <f t="shared" si="44"/>
        <v>TEMPERATURE INFO Set:18 Actual:18.5 Countdown:10</v>
      </c>
    </row>
    <row r="693" spans="1:18" hidden="1" x14ac:dyDescent="0.25">
      <c r="A693" s="3">
        <f t="shared" si="45"/>
        <v>44761.574771874999</v>
      </c>
      <c r="B693" s="8" t="str">
        <f t="shared" si="46"/>
        <v>←</v>
      </c>
      <c r="C693" s="11">
        <f t="shared" si="47"/>
        <v>0.128</v>
      </c>
      <c r="D693" s="2">
        <v>1658202460290</v>
      </c>
      <c r="E693" t="s">
        <v>0</v>
      </c>
      <c r="F693" s="1">
        <v>5</v>
      </c>
      <c r="G693" s="1">
        <v>31</v>
      </c>
      <c r="H693" s="1">
        <v>21</v>
      </c>
      <c r="I693" s="1" t="s">
        <v>6</v>
      </c>
      <c r="J693" s="1">
        <v>3</v>
      </c>
      <c r="K693" s="1" t="s">
        <v>7</v>
      </c>
      <c r="R693" t="str">
        <f t="shared" si="44"/>
        <v>Ack</v>
      </c>
    </row>
    <row r="694" spans="1:18" x14ac:dyDescent="0.25">
      <c r="A694" s="3">
        <f t="shared" si="45"/>
        <v>44761.574773194443</v>
      </c>
      <c r="B694" s="8" t="str">
        <f t="shared" si="46"/>
        <v>→</v>
      </c>
      <c r="C694" s="11">
        <f t="shared" si="47"/>
        <v>0.114</v>
      </c>
      <c r="D694" s="2">
        <v>1658202460404</v>
      </c>
      <c r="E694" t="s">
        <v>0</v>
      </c>
      <c r="F694" s="1">
        <v>6</v>
      </c>
      <c r="G694" s="1">
        <v>21</v>
      </c>
      <c r="H694" s="1">
        <v>31</v>
      </c>
      <c r="I694" s="1">
        <v>29</v>
      </c>
      <c r="J694" s="1">
        <v>0</v>
      </c>
      <c r="K694" s="1" t="s">
        <v>13</v>
      </c>
      <c r="L694" s="1" t="s">
        <v>14</v>
      </c>
      <c r="R694" t="str">
        <f t="shared" si="44"/>
        <v>LONG PING FURNACE</v>
      </c>
    </row>
    <row r="695" spans="1:18" hidden="1" x14ac:dyDescent="0.25">
      <c r="A695" s="3">
        <f t="shared" si="45"/>
        <v>44761.574774560184</v>
      </c>
      <c r="B695" s="8" t="str">
        <f t="shared" si="46"/>
        <v>←</v>
      </c>
      <c r="C695" s="11">
        <f t="shared" si="47"/>
        <v>0.11799999999999999</v>
      </c>
      <c r="D695" s="2">
        <v>1658202460522</v>
      </c>
      <c r="E695" t="s">
        <v>0</v>
      </c>
      <c r="F695" s="1">
        <v>5</v>
      </c>
      <c r="G695" s="1">
        <v>31</v>
      </c>
      <c r="H695" s="1">
        <v>21</v>
      </c>
      <c r="I695" s="1" t="s">
        <v>6</v>
      </c>
      <c r="J695" s="1">
        <v>3</v>
      </c>
      <c r="K695" s="1" t="s">
        <v>7</v>
      </c>
      <c r="R695" t="str">
        <f t="shared" si="44"/>
        <v>Ack</v>
      </c>
    </row>
    <row r="696" spans="1:18" hidden="1" x14ac:dyDescent="0.25">
      <c r="A696" s="3">
        <f t="shared" si="45"/>
        <v>44761.574775601846</v>
      </c>
      <c r="B696" s="8" t="str">
        <f t="shared" si="46"/>
        <v>→</v>
      </c>
      <c r="C696" s="11">
        <f t="shared" si="47"/>
        <v>0.09</v>
      </c>
      <c r="D696" s="2">
        <v>1658202460612</v>
      </c>
      <c r="E696" t="s">
        <v>0</v>
      </c>
      <c r="F696" s="1">
        <v>5</v>
      </c>
      <c r="G696" s="1">
        <v>21</v>
      </c>
      <c r="H696" s="1">
        <v>31</v>
      </c>
      <c r="I696" s="1">
        <v>6</v>
      </c>
      <c r="J696" s="1">
        <v>60</v>
      </c>
      <c r="K696" s="1">
        <v>83</v>
      </c>
      <c r="R696" t="str">
        <f t="shared" si="44"/>
        <v>FURNACE STATUS REQUEST</v>
      </c>
    </row>
    <row r="697" spans="1:18" hidden="1" x14ac:dyDescent="0.25">
      <c r="A697" s="3">
        <f t="shared" si="45"/>
        <v>44761.57477752315</v>
      </c>
      <c r="B697" s="8" t="str">
        <f t="shared" si="46"/>
        <v>←</v>
      </c>
      <c r="C697" s="11">
        <f t="shared" si="47"/>
        <v>0.16600000000000001</v>
      </c>
      <c r="D697" s="2">
        <v>1658202460778</v>
      </c>
      <c r="E697" t="s">
        <v>0</v>
      </c>
      <c r="F697" s="1">
        <v>9</v>
      </c>
      <c r="G697" s="1">
        <v>31</v>
      </c>
      <c r="H697" s="1">
        <v>21</v>
      </c>
      <c r="I697" s="1" t="s">
        <v>1</v>
      </c>
      <c r="J697" s="1">
        <v>0</v>
      </c>
      <c r="K697" s="1">
        <v>0</v>
      </c>
      <c r="L697" s="1">
        <v>0</v>
      </c>
      <c r="M697" s="1">
        <v>0</v>
      </c>
      <c r="N697" s="1" t="s">
        <v>21</v>
      </c>
      <c r="O697" s="1" t="s">
        <v>22</v>
      </c>
      <c r="R697" t="str">
        <f t="shared" si="44"/>
        <v>FURNACE STATUS RESPONSE Fan:0 Ignition:0 Burner:0 Unknown:0</v>
      </c>
    </row>
    <row r="698" spans="1:18" hidden="1" x14ac:dyDescent="0.25">
      <c r="A698" s="3">
        <f t="shared" si="45"/>
        <v>44761.57543759259</v>
      </c>
      <c r="B698" s="8" t="str">
        <f t="shared" si="46"/>
        <v>→</v>
      </c>
      <c r="C698" s="11">
        <f t="shared" si="47"/>
        <v>57.03</v>
      </c>
      <c r="D698" s="2">
        <v>1658202517808</v>
      </c>
      <c r="E698" t="s">
        <v>0</v>
      </c>
      <c r="F698" s="1" t="s">
        <v>3</v>
      </c>
      <c r="G698" s="1">
        <v>21</v>
      </c>
      <c r="H698" s="1">
        <v>31</v>
      </c>
      <c r="I698" s="1" t="s">
        <v>3</v>
      </c>
      <c r="J698" s="1" t="s">
        <v>6</v>
      </c>
      <c r="K698" s="1">
        <v>12</v>
      </c>
      <c r="L698" s="1">
        <v>24</v>
      </c>
      <c r="M698" s="1">
        <v>1</v>
      </c>
      <c r="N698" s="1" t="s">
        <v>4</v>
      </c>
      <c r="O698" s="1">
        <v>0</v>
      </c>
      <c r="P698" s="1">
        <v>36</v>
      </c>
      <c r="Q698" s="1">
        <v>78</v>
      </c>
      <c r="R698" t="str">
        <f t="shared" si="44"/>
        <v>TEMPERATURE INFO Set:18 Actual:18 Countdown:180</v>
      </c>
    </row>
    <row r="699" spans="1:18" hidden="1" x14ac:dyDescent="0.25">
      <c r="A699" s="3">
        <f t="shared" si="45"/>
        <v>44761.575438796295</v>
      </c>
      <c r="B699" s="8" t="str">
        <f t="shared" si="46"/>
        <v>←</v>
      </c>
      <c r="C699" s="11">
        <f t="shared" si="47"/>
        <v>0.104</v>
      </c>
      <c r="D699" s="2">
        <v>1658202517912</v>
      </c>
      <c r="E699" t="s">
        <v>0</v>
      </c>
      <c r="F699" s="1">
        <v>5</v>
      </c>
      <c r="G699" s="1">
        <v>31</v>
      </c>
      <c r="H699" s="1">
        <v>21</v>
      </c>
      <c r="I699" s="1" t="s">
        <v>6</v>
      </c>
      <c r="J699" s="1">
        <v>3</v>
      </c>
      <c r="K699" s="1" t="s">
        <v>7</v>
      </c>
      <c r="R699" t="str">
        <f t="shared" si="44"/>
        <v>Ack</v>
      </c>
    </row>
    <row r="700" spans="1:18" hidden="1" x14ac:dyDescent="0.25">
      <c r="A700" s="3">
        <f t="shared" si="45"/>
        <v>44761.575440972221</v>
      </c>
      <c r="B700" s="8" t="str">
        <f t="shared" si="46"/>
        <v>←</v>
      </c>
      <c r="C700" s="11">
        <f t="shared" si="47"/>
        <v>0.188</v>
      </c>
      <c r="D700" s="2">
        <v>1658202518100</v>
      </c>
      <c r="E700" t="s">
        <v>0</v>
      </c>
      <c r="F700" s="1">
        <v>9</v>
      </c>
      <c r="G700" s="1">
        <v>31</v>
      </c>
      <c r="H700" s="1">
        <v>21</v>
      </c>
      <c r="I700" s="1">
        <v>5</v>
      </c>
      <c r="J700" s="1">
        <v>0</v>
      </c>
      <c r="K700" s="1">
        <v>23</v>
      </c>
      <c r="L700" s="1">
        <v>0</v>
      </c>
      <c r="M700" s="1">
        <v>0</v>
      </c>
      <c r="N700" s="1" t="s">
        <v>8</v>
      </c>
      <c r="O700" s="1">
        <v>20</v>
      </c>
      <c r="R700" t="str">
        <f t="shared" si="44"/>
        <v>FURNACE STATUS REPORT Fan:1 Ignition:1 Burner:0 Unknown:20</v>
      </c>
    </row>
    <row r="701" spans="1:18" hidden="1" x14ac:dyDescent="0.25">
      <c r="A701" s="3">
        <f t="shared" si="45"/>
        <v>44761.575442048612</v>
      </c>
      <c r="B701" s="8" t="str">
        <f t="shared" si="46"/>
        <v>→</v>
      </c>
      <c r="C701" s="11">
        <f t="shared" si="47"/>
        <v>9.2999999999999999E-2</v>
      </c>
      <c r="D701" s="2">
        <v>1658202518193</v>
      </c>
      <c r="E701" t="s">
        <v>0</v>
      </c>
      <c r="F701" s="1">
        <v>5</v>
      </c>
      <c r="G701" s="1">
        <v>21</v>
      </c>
      <c r="H701" s="1">
        <v>31</v>
      </c>
      <c r="I701" s="1" t="s">
        <v>6</v>
      </c>
      <c r="J701" s="1">
        <v>62</v>
      </c>
      <c r="K701" s="1">
        <v>95</v>
      </c>
      <c r="R701" t="str">
        <f t="shared" si="44"/>
        <v>Ack</v>
      </c>
    </row>
    <row r="702" spans="1:18" hidden="1" x14ac:dyDescent="0.25">
      <c r="A702" s="3">
        <f t="shared" si="45"/>
        <v>44761.575458784719</v>
      </c>
      <c r="B702" s="8" t="str">
        <f t="shared" si="46"/>
        <v>→</v>
      </c>
      <c r="C702" s="11">
        <f t="shared" si="47"/>
        <v>1.446</v>
      </c>
      <c r="D702" s="2">
        <v>1658202519639</v>
      </c>
      <c r="E702" t="s">
        <v>0</v>
      </c>
      <c r="F702" s="1">
        <v>8</v>
      </c>
      <c r="G702" s="1">
        <v>21</v>
      </c>
      <c r="H702" s="1">
        <v>31</v>
      </c>
      <c r="I702" s="1">
        <v>7</v>
      </c>
      <c r="J702" s="1" t="s">
        <v>70</v>
      </c>
      <c r="K702" s="1" t="s">
        <v>48</v>
      </c>
      <c r="L702" s="1">
        <v>1</v>
      </c>
      <c r="M702" s="1" t="s">
        <v>18</v>
      </c>
      <c r="N702" s="1" t="s">
        <v>109</v>
      </c>
      <c r="R702" t="str">
        <f t="shared" si="44"/>
        <v>TIME 13:43 Tue</v>
      </c>
    </row>
    <row r="703" spans="1:18" hidden="1" x14ac:dyDescent="0.25">
      <c r="A703" s="3">
        <f t="shared" si="45"/>
        <v>44761.575460277774</v>
      </c>
      <c r="B703" s="8" t="str">
        <f t="shared" si="46"/>
        <v>←</v>
      </c>
      <c r="C703" s="11">
        <f t="shared" si="47"/>
        <v>0.129</v>
      </c>
      <c r="D703" s="2">
        <v>1658202519768</v>
      </c>
      <c r="E703" t="s">
        <v>0</v>
      </c>
      <c r="F703" s="1">
        <v>5</v>
      </c>
      <c r="G703" s="1">
        <v>31</v>
      </c>
      <c r="H703" s="1">
        <v>21</v>
      </c>
      <c r="I703" s="1" t="s">
        <v>6</v>
      </c>
      <c r="J703" s="1">
        <v>3</v>
      </c>
      <c r="K703" s="1" t="s">
        <v>7</v>
      </c>
      <c r="R703" t="str">
        <f t="shared" si="44"/>
        <v>Ack</v>
      </c>
    </row>
    <row r="704" spans="1:18" hidden="1" x14ac:dyDescent="0.25">
      <c r="A704" s="3">
        <f t="shared" si="45"/>
        <v>44761.575461261571</v>
      </c>
      <c r="B704" s="8" t="str">
        <f t="shared" si="46"/>
        <v>→</v>
      </c>
      <c r="C704" s="11">
        <f t="shared" si="47"/>
        <v>8.5000000000000006E-2</v>
      </c>
      <c r="D704" s="2">
        <v>1658202519853</v>
      </c>
      <c r="E704" t="s">
        <v>0</v>
      </c>
      <c r="F704" s="1">
        <v>5</v>
      </c>
      <c r="G704" s="1">
        <v>21</v>
      </c>
      <c r="H704" s="1">
        <v>31</v>
      </c>
      <c r="I704" s="1">
        <v>9</v>
      </c>
      <c r="J704" s="1">
        <v>60</v>
      </c>
      <c r="K704" s="1" t="s">
        <v>11</v>
      </c>
      <c r="R704" t="str">
        <f t="shared" si="44"/>
        <v>PING FURNACE</v>
      </c>
    </row>
    <row r="705" spans="1:18" hidden="1" x14ac:dyDescent="0.25">
      <c r="A705" s="3">
        <f t="shared" si="45"/>
        <v>44761.575462731482</v>
      </c>
      <c r="B705" s="8" t="str">
        <f t="shared" si="46"/>
        <v>←</v>
      </c>
      <c r="C705" s="11">
        <f t="shared" si="47"/>
        <v>0.127</v>
      </c>
      <c r="D705" s="2">
        <v>1658202519980</v>
      </c>
      <c r="E705" t="s">
        <v>0</v>
      </c>
      <c r="F705" s="1">
        <v>5</v>
      </c>
      <c r="G705" s="1">
        <v>31</v>
      </c>
      <c r="H705" s="1">
        <v>21</v>
      </c>
      <c r="I705" s="1" t="s">
        <v>6</v>
      </c>
      <c r="J705" s="1">
        <v>3</v>
      </c>
      <c r="K705" s="1" t="s">
        <v>7</v>
      </c>
      <c r="R705" t="str">
        <f t="shared" si="44"/>
        <v>Ack</v>
      </c>
    </row>
    <row r="706" spans="1:18" hidden="1" x14ac:dyDescent="0.25">
      <c r="A706" s="3">
        <f t="shared" si="45"/>
        <v>44761.575464641202</v>
      </c>
      <c r="B706" s="8" t="str">
        <f t="shared" si="46"/>
        <v>→</v>
      </c>
      <c r="C706" s="11">
        <f t="shared" si="47"/>
        <v>0.16500000000000001</v>
      </c>
      <c r="D706" s="2">
        <v>1658202520145</v>
      </c>
      <c r="E706" t="s">
        <v>0</v>
      </c>
      <c r="F706" s="1" t="s">
        <v>3</v>
      </c>
      <c r="G706" s="1">
        <v>21</v>
      </c>
      <c r="H706" s="1">
        <v>31</v>
      </c>
      <c r="I706" s="1" t="s">
        <v>3</v>
      </c>
      <c r="J706" s="1" t="s">
        <v>6</v>
      </c>
      <c r="K706" s="1">
        <v>12</v>
      </c>
      <c r="L706" s="1">
        <v>24</v>
      </c>
      <c r="M706" s="1">
        <v>1</v>
      </c>
      <c r="N706" s="1" t="s">
        <v>4</v>
      </c>
      <c r="O706" s="1">
        <v>0</v>
      </c>
      <c r="P706" s="1">
        <v>36</v>
      </c>
      <c r="Q706" s="1">
        <v>78</v>
      </c>
      <c r="R706" t="str">
        <f t="shared" si="44"/>
        <v>TEMPERATURE INFO Set:18 Actual:18 Countdown:180</v>
      </c>
    </row>
    <row r="707" spans="1:18" hidden="1" x14ac:dyDescent="0.25">
      <c r="A707" s="3">
        <f t="shared" si="45"/>
        <v>44761.575465925918</v>
      </c>
      <c r="B707" s="8" t="str">
        <f t="shared" si="46"/>
        <v>←</v>
      </c>
      <c r="C707" s="11">
        <f t="shared" si="47"/>
        <v>0.111</v>
      </c>
      <c r="D707" s="2">
        <v>1658202520256</v>
      </c>
      <c r="E707" t="s">
        <v>0</v>
      </c>
      <c r="F707" s="1">
        <v>5</v>
      </c>
      <c r="G707" s="1">
        <v>31</v>
      </c>
      <c r="H707" s="1">
        <v>21</v>
      </c>
      <c r="I707" s="1" t="s">
        <v>6</v>
      </c>
      <c r="J707" s="1">
        <v>3</v>
      </c>
      <c r="K707" s="1" t="s">
        <v>7</v>
      </c>
      <c r="R707" t="str">
        <f t="shared" ref="R707:R770" si="48">IF(E707="Ok",_xlfn.SWITCH(I707,5,"FURNACE STATUS REPORT Fan:"&amp;IF(_xlfn.BITAND(HEX2DEC(K707),1),"1","0")&amp;" Ignition:"&amp;IF(_xlfn.BITAND(HEX2DEC(K707),2),"1","0")&amp;" Burner:"&amp;IF(_xlfn.BITAND(HEX2DEC(K707),4),"1","0")&amp;" Unknown:"&amp;DEC2HEX(_xlfn.BITAND(HEX2DEC(K707),248)),6,"FURNACE STATUS REQUEST",7,"TIME "&amp;HEX2DEC(J707)&amp;":"&amp;HEX2DEC(K707)&amp;" "&amp;CHOOSE(L707+1,"Mon","Tue","Wed","Thu","Fri","Sat","Sun"),9,"PING FURNACE","0B","TEMPERATURE INFO Set:"&amp;HEX2DEC(K707)&amp;" Actual:"&amp;HEX2DEC(L707)/2&amp;" Countdown:"&amp;HEX2DEC(N707),29,"LONG PING FURNACE","FB","FURNACE STATUS RESPONSE Fan:"&amp;IF(_xlfn.BITAND(HEX2DEC(K707),1),"1","0")&amp;" Ignition:"&amp;IF(_xlfn.BITAND(HEX2DEC(K707),2),"1","0")&amp;" Burner:"&amp;IF(_xlfn.BITAND(HEX2DEC(K707),4),"1","0")&amp;" Unknown:"&amp;DEC2HEX(_xlfn.BITAND(HEX2DEC(K707),248)),"FF","Ack"),"")</f>
        <v>Ack</v>
      </c>
    </row>
    <row r="708" spans="1:18" x14ac:dyDescent="0.25">
      <c r="A708" s="3">
        <f t="shared" si="45"/>
        <v>44761.575467083334</v>
      </c>
      <c r="B708" s="8" t="str">
        <f t="shared" si="46"/>
        <v>→</v>
      </c>
      <c r="C708" s="11">
        <f t="shared" si="47"/>
        <v>0.1</v>
      </c>
      <c r="D708" s="2">
        <v>1658202520356</v>
      </c>
      <c r="E708" t="s">
        <v>0</v>
      </c>
      <c r="F708" s="1">
        <v>6</v>
      </c>
      <c r="G708" s="1">
        <v>21</v>
      </c>
      <c r="H708" s="1">
        <v>31</v>
      </c>
      <c r="I708" s="1">
        <v>29</v>
      </c>
      <c r="J708" s="1">
        <v>0</v>
      </c>
      <c r="K708" s="1" t="s">
        <v>13</v>
      </c>
      <c r="L708" s="1" t="s">
        <v>14</v>
      </c>
      <c r="R708" t="str">
        <f t="shared" si="48"/>
        <v>LONG PING FURNACE</v>
      </c>
    </row>
    <row r="709" spans="1:18" hidden="1" x14ac:dyDescent="0.25">
      <c r="A709" s="3">
        <f t="shared" si="45"/>
        <v>44761.575468773146</v>
      </c>
      <c r="B709" s="8" t="str">
        <f t="shared" si="46"/>
        <v>←</v>
      </c>
      <c r="C709" s="11">
        <f t="shared" si="47"/>
        <v>0.14599999999999999</v>
      </c>
      <c r="D709" s="2">
        <v>1658202520502</v>
      </c>
      <c r="E709" t="s">
        <v>0</v>
      </c>
      <c r="F709" s="1">
        <v>5</v>
      </c>
      <c r="G709" s="1">
        <v>31</v>
      </c>
      <c r="H709" s="1">
        <v>21</v>
      </c>
      <c r="I709" s="1" t="s">
        <v>6</v>
      </c>
      <c r="J709" s="1">
        <v>3</v>
      </c>
      <c r="K709" s="1" t="s">
        <v>7</v>
      </c>
      <c r="R709" t="str">
        <f t="shared" si="48"/>
        <v>Ack</v>
      </c>
    </row>
    <row r="710" spans="1:18" hidden="1" x14ac:dyDescent="0.25">
      <c r="A710" s="3">
        <f t="shared" si="45"/>
        <v>44761.575469560186</v>
      </c>
      <c r="B710" s="8" t="str">
        <f t="shared" si="46"/>
        <v>→</v>
      </c>
      <c r="C710" s="11">
        <f t="shared" si="47"/>
        <v>6.8000000000000005E-2</v>
      </c>
      <c r="D710" s="2">
        <v>1658202520570</v>
      </c>
      <c r="E710" t="s">
        <v>0</v>
      </c>
      <c r="F710" s="1">
        <v>5</v>
      </c>
      <c r="G710" s="1">
        <v>21</v>
      </c>
      <c r="H710" s="1">
        <v>31</v>
      </c>
      <c r="I710" s="1">
        <v>6</v>
      </c>
      <c r="J710" s="1">
        <v>60</v>
      </c>
      <c r="K710" s="1">
        <v>83</v>
      </c>
      <c r="R710" t="str">
        <f t="shared" si="48"/>
        <v>FURNACE STATUS REQUEST</v>
      </c>
    </row>
    <row r="711" spans="1:18" hidden="1" x14ac:dyDescent="0.25">
      <c r="A711" s="3">
        <f t="shared" si="45"/>
        <v>44761.575471354161</v>
      </c>
      <c r="B711" s="8" t="str">
        <f t="shared" si="46"/>
        <v>←</v>
      </c>
      <c r="C711" s="11">
        <f t="shared" si="47"/>
        <v>0.155</v>
      </c>
      <c r="D711" s="2">
        <v>1658202520725</v>
      </c>
      <c r="E711" t="s">
        <v>0</v>
      </c>
      <c r="F711" s="1">
        <v>9</v>
      </c>
      <c r="G711" s="1">
        <v>31</v>
      </c>
      <c r="H711" s="1">
        <v>21</v>
      </c>
      <c r="I711" s="1" t="s">
        <v>1</v>
      </c>
      <c r="J711" s="1">
        <v>0</v>
      </c>
      <c r="K711" s="1">
        <v>23</v>
      </c>
      <c r="L711" s="1">
        <v>0</v>
      </c>
      <c r="M711" s="1">
        <v>0</v>
      </c>
      <c r="N711" s="1">
        <v>71</v>
      </c>
      <c r="O711" s="1">
        <v>73</v>
      </c>
      <c r="R711" t="str">
        <f t="shared" si="48"/>
        <v>FURNACE STATUS RESPONSE Fan:1 Ignition:1 Burner:0 Unknown:20</v>
      </c>
    </row>
    <row r="712" spans="1:18" hidden="1" x14ac:dyDescent="0.25">
      <c r="A712" s="3">
        <f t="shared" si="45"/>
        <v>44761.57561190972</v>
      </c>
      <c r="B712" s="8" t="str">
        <f t="shared" si="46"/>
        <v>←</v>
      </c>
      <c r="C712" s="11">
        <f t="shared" si="47"/>
        <v>12.144</v>
      </c>
      <c r="D712" s="2">
        <v>1658202532869</v>
      </c>
      <c r="E712" t="s">
        <v>0</v>
      </c>
      <c r="F712" s="1">
        <v>9</v>
      </c>
      <c r="G712" s="1">
        <v>31</v>
      </c>
      <c r="H712" s="1">
        <v>21</v>
      </c>
      <c r="I712" s="1">
        <v>5</v>
      </c>
      <c r="J712" s="1">
        <v>0</v>
      </c>
      <c r="K712" s="1">
        <v>33</v>
      </c>
      <c r="L712" s="1">
        <v>0</v>
      </c>
      <c r="M712" s="1">
        <v>0</v>
      </c>
      <c r="N712" s="1">
        <v>58</v>
      </c>
      <c r="O712" s="1">
        <v>63</v>
      </c>
      <c r="R712" t="str">
        <f t="shared" si="48"/>
        <v>FURNACE STATUS REPORT Fan:1 Ignition:1 Burner:0 Unknown:30</v>
      </c>
    </row>
    <row r="713" spans="1:18" hidden="1" x14ac:dyDescent="0.25">
      <c r="A713" s="3">
        <f t="shared" si="45"/>
        <v>44761.575612997687</v>
      </c>
      <c r="B713" s="8" t="str">
        <f t="shared" si="46"/>
        <v>→</v>
      </c>
      <c r="C713" s="11">
        <f t="shared" si="47"/>
        <v>9.4E-2</v>
      </c>
      <c r="D713" s="2">
        <v>1658202532963</v>
      </c>
      <c r="E713" t="s">
        <v>0</v>
      </c>
      <c r="F713" s="1">
        <v>5</v>
      </c>
      <c r="G713" s="1">
        <v>21</v>
      </c>
      <c r="H713" s="1">
        <v>31</v>
      </c>
      <c r="I713" s="1" t="s">
        <v>6</v>
      </c>
      <c r="J713" s="1">
        <v>62</v>
      </c>
      <c r="K713" s="1">
        <v>95</v>
      </c>
      <c r="R713" t="str">
        <f t="shared" si="48"/>
        <v>Ack</v>
      </c>
    </row>
    <row r="714" spans="1:18" hidden="1" x14ac:dyDescent="0.25">
      <c r="A714" s="3">
        <f t="shared" si="45"/>
        <v>44761.575705868054</v>
      </c>
      <c r="B714" s="8" t="str">
        <f t="shared" si="46"/>
        <v>←</v>
      </c>
      <c r="C714" s="11">
        <f t="shared" si="47"/>
        <v>8.0239999999999991</v>
      </c>
      <c r="D714" s="2">
        <v>1658202540987</v>
      </c>
      <c r="E714" t="s">
        <v>0</v>
      </c>
      <c r="F714" s="1">
        <v>9</v>
      </c>
      <c r="G714" s="1">
        <v>31</v>
      </c>
      <c r="H714" s="1">
        <v>21</v>
      </c>
      <c r="I714" s="1">
        <v>5</v>
      </c>
      <c r="J714" s="1">
        <v>0</v>
      </c>
      <c r="K714" s="1">
        <v>37</v>
      </c>
      <c r="L714" s="1">
        <v>0</v>
      </c>
      <c r="M714" s="1">
        <v>0</v>
      </c>
      <c r="N714" s="1" t="s">
        <v>26</v>
      </c>
      <c r="O714" s="1">
        <v>30</v>
      </c>
      <c r="R714" t="str">
        <f t="shared" si="48"/>
        <v>FURNACE STATUS REPORT Fan:1 Ignition:1 Burner:1 Unknown:30</v>
      </c>
    </row>
    <row r="715" spans="1:18" hidden="1" x14ac:dyDescent="0.25">
      <c r="A715" s="3">
        <f t="shared" si="45"/>
        <v>44761.575706909724</v>
      </c>
      <c r="B715" s="8" t="str">
        <f t="shared" si="46"/>
        <v>→</v>
      </c>
      <c r="C715" s="11">
        <f t="shared" si="47"/>
        <v>0.09</v>
      </c>
      <c r="D715" s="2">
        <v>1658202541077</v>
      </c>
      <c r="E715" t="s">
        <v>0</v>
      </c>
      <c r="F715" s="1">
        <v>5</v>
      </c>
      <c r="G715" s="1">
        <v>21</v>
      </c>
      <c r="H715" s="1">
        <v>31</v>
      </c>
      <c r="I715" s="1" t="s">
        <v>6</v>
      </c>
      <c r="J715" s="1">
        <v>62</v>
      </c>
      <c r="K715" s="1">
        <v>95</v>
      </c>
      <c r="R715" t="str">
        <f t="shared" si="48"/>
        <v>Ack</v>
      </c>
    </row>
    <row r="716" spans="1:18" hidden="1" x14ac:dyDescent="0.25">
      <c r="A716" s="3">
        <f t="shared" si="45"/>
        <v>44761.575755972219</v>
      </c>
      <c r="B716" s="8" t="str">
        <f t="shared" si="46"/>
        <v>←</v>
      </c>
      <c r="C716" s="11">
        <f t="shared" si="47"/>
        <v>4.2389999999999999</v>
      </c>
      <c r="D716" s="2">
        <v>1658202545316</v>
      </c>
      <c r="E716" t="s">
        <v>0</v>
      </c>
      <c r="F716" s="1">
        <v>9</v>
      </c>
      <c r="G716" s="1">
        <v>31</v>
      </c>
      <c r="H716" s="1">
        <v>21</v>
      </c>
      <c r="I716" s="1">
        <v>5</v>
      </c>
      <c r="J716" s="1">
        <v>0</v>
      </c>
      <c r="K716" s="1">
        <v>36</v>
      </c>
      <c r="L716" s="1">
        <v>0</v>
      </c>
      <c r="M716" s="1">
        <v>0</v>
      </c>
      <c r="N716" s="1">
        <v>58</v>
      </c>
      <c r="O716" s="1">
        <v>27</v>
      </c>
      <c r="R716" t="str">
        <f t="shared" si="48"/>
        <v>FURNACE STATUS REPORT Fan:0 Ignition:1 Burner:1 Unknown:30</v>
      </c>
    </row>
    <row r="717" spans="1:18" hidden="1" x14ac:dyDescent="0.25">
      <c r="A717" s="3">
        <f t="shared" si="45"/>
        <v>44761.575756967592</v>
      </c>
      <c r="B717" s="8" t="str">
        <f t="shared" si="46"/>
        <v>→</v>
      </c>
      <c r="C717" s="11">
        <f t="shared" si="47"/>
        <v>8.5999999999999993E-2</v>
      </c>
      <c r="D717" s="2">
        <v>1658202545402</v>
      </c>
      <c r="E717" t="s">
        <v>0</v>
      </c>
      <c r="F717" s="1">
        <v>5</v>
      </c>
      <c r="G717" s="1">
        <v>21</v>
      </c>
      <c r="H717" s="1">
        <v>31</v>
      </c>
      <c r="I717" s="1" t="s">
        <v>6</v>
      </c>
      <c r="J717" s="1">
        <v>62</v>
      </c>
      <c r="K717" s="1">
        <v>95</v>
      </c>
      <c r="R717" t="str">
        <f t="shared" si="48"/>
        <v>Ack</v>
      </c>
    </row>
    <row r="718" spans="1:18" hidden="1" x14ac:dyDescent="0.25">
      <c r="A718" s="3">
        <f t="shared" si="45"/>
        <v>44761.575789074072</v>
      </c>
      <c r="B718" s="8" t="str">
        <f t="shared" si="46"/>
        <v>←</v>
      </c>
      <c r="C718" s="11">
        <f t="shared" si="47"/>
        <v>2.774</v>
      </c>
      <c r="D718" s="2">
        <v>1658202548176</v>
      </c>
      <c r="E718" t="s">
        <v>0</v>
      </c>
      <c r="F718" s="1">
        <v>9</v>
      </c>
      <c r="G718" s="1">
        <v>31</v>
      </c>
      <c r="H718" s="1">
        <v>21</v>
      </c>
      <c r="I718" s="1">
        <v>5</v>
      </c>
      <c r="J718" s="1">
        <v>0</v>
      </c>
      <c r="K718" s="1">
        <v>26</v>
      </c>
      <c r="L718" s="1">
        <v>0</v>
      </c>
      <c r="M718" s="1">
        <v>0</v>
      </c>
      <c r="N718" s="1" t="s">
        <v>8</v>
      </c>
      <c r="O718" s="1">
        <v>64</v>
      </c>
      <c r="R718" t="str">
        <f t="shared" si="48"/>
        <v>FURNACE STATUS REPORT Fan:0 Ignition:1 Burner:1 Unknown:20</v>
      </c>
    </row>
    <row r="719" spans="1:18" hidden="1" x14ac:dyDescent="0.25">
      <c r="A719" s="3">
        <f t="shared" si="45"/>
        <v>44761.57579008102</v>
      </c>
      <c r="B719" s="8" t="str">
        <f t="shared" si="46"/>
        <v>→</v>
      </c>
      <c r="C719" s="11">
        <f t="shared" si="47"/>
        <v>8.6999999999999994E-2</v>
      </c>
      <c r="D719" s="2">
        <v>1658202548263</v>
      </c>
      <c r="E719" t="s">
        <v>0</v>
      </c>
      <c r="F719" s="1">
        <v>5</v>
      </c>
      <c r="G719" s="1">
        <v>21</v>
      </c>
      <c r="H719" s="1">
        <v>31</v>
      </c>
      <c r="I719" s="1" t="s">
        <v>6</v>
      </c>
      <c r="J719" s="1">
        <v>62</v>
      </c>
      <c r="K719" s="1">
        <v>95</v>
      </c>
      <c r="R719" t="str">
        <f t="shared" si="48"/>
        <v>Ack</v>
      </c>
    </row>
    <row r="720" spans="1:18" hidden="1" x14ac:dyDescent="0.25">
      <c r="A720" s="3">
        <f t="shared" si="45"/>
        <v>44761.575871423607</v>
      </c>
      <c r="B720" s="8" t="str">
        <f t="shared" si="46"/>
        <v>←</v>
      </c>
      <c r="C720" s="11">
        <f t="shared" si="47"/>
        <v>7.0279999999999996</v>
      </c>
      <c r="D720" s="2">
        <v>1658202555291</v>
      </c>
      <c r="E720" t="s">
        <v>0</v>
      </c>
      <c r="F720" s="1">
        <v>9</v>
      </c>
      <c r="G720" s="1">
        <v>31</v>
      </c>
      <c r="H720" s="1">
        <v>21</v>
      </c>
      <c r="I720" s="1">
        <v>5</v>
      </c>
      <c r="J720" s="1">
        <v>0</v>
      </c>
      <c r="K720" s="1">
        <v>27</v>
      </c>
      <c r="L720" s="1">
        <v>0</v>
      </c>
      <c r="M720" s="1">
        <v>0</v>
      </c>
      <c r="N720" s="1">
        <v>59</v>
      </c>
      <c r="O720" s="1">
        <v>73</v>
      </c>
      <c r="R720" t="str">
        <f t="shared" si="48"/>
        <v>FURNACE STATUS REPORT Fan:1 Ignition:1 Burner:1 Unknown:20</v>
      </c>
    </row>
    <row r="721" spans="1:18" hidden="1" x14ac:dyDescent="0.25">
      <c r="A721" s="3">
        <f t="shared" si="45"/>
        <v>44761.575872465277</v>
      </c>
      <c r="B721" s="8" t="str">
        <f t="shared" si="46"/>
        <v>→</v>
      </c>
      <c r="C721" s="11">
        <f t="shared" si="47"/>
        <v>0.09</v>
      </c>
      <c r="D721" s="2">
        <v>1658202555381</v>
      </c>
      <c r="E721" t="s">
        <v>0</v>
      </c>
      <c r="F721" s="1">
        <v>5</v>
      </c>
      <c r="G721" s="1">
        <v>21</v>
      </c>
      <c r="H721" s="1">
        <v>31</v>
      </c>
      <c r="I721" s="1" t="s">
        <v>6</v>
      </c>
      <c r="J721" s="1">
        <v>62</v>
      </c>
      <c r="K721" s="1">
        <v>95</v>
      </c>
      <c r="R721" t="str">
        <f t="shared" si="48"/>
        <v>Ack</v>
      </c>
    </row>
    <row r="722" spans="1:18" hidden="1" x14ac:dyDescent="0.25">
      <c r="A722" s="3">
        <f t="shared" si="45"/>
        <v>44761.576153275462</v>
      </c>
      <c r="B722" s="8" t="str">
        <f t="shared" si="46"/>
        <v>→</v>
      </c>
      <c r="C722" s="11">
        <f t="shared" si="47"/>
        <v>24.262</v>
      </c>
      <c r="D722" s="2">
        <v>1658202579643</v>
      </c>
      <c r="E722" t="s">
        <v>0</v>
      </c>
      <c r="F722" s="1">
        <v>8</v>
      </c>
      <c r="G722" s="1">
        <v>21</v>
      </c>
      <c r="H722" s="1">
        <v>31</v>
      </c>
      <c r="I722" s="1">
        <v>7</v>
      </c>
      <c r="J722" s="1" t="s">
        <v>70</v>
      </c>
      <c r="K722" s="1" t="s">
        <v>49</v>
      </c>
      <c r="L722" s="1">
        <v>1</v>
      </c>
      <c r="M722" s="1" t="s">
        <v>50</v>
      </c>
      <c r="N722" s="1" t="s">
        <v>57</v>
      </c>
      <c r="R722" t="str">
        <f t="shared" si="48"/>
        <v>TIME 13:44 Tue</v>
      </c>
    </row>
    <row r="723" spans="1:18" hidden="1" x14ac:dyDescent="0.25">
      <c r="A723" s="3">
        <f t="shared" si="45"/>
        <v>44761.576154768518</v>
      </c>
      <c r="B723" s="8" t="str">
        <f t="shared" si="46"/>
        <v>←</v>
      </c>
      <c r="C723" s="11">
        <f t="shared" si="47"/>
        <v>0.129</v>
      </c>
      <c r="D723" s="2">
        <v>1658202579772</v>
      </c>
      <c r="E723" t="s">
        <v>0</v>
      </c>
      <c r="F723" s="1">
        <v>5</v>
      </c>
      <c r="G723" s="1">
        <v>31</v>
      </c>
      <c r="H723" s="1">
        <v>21</v>
      </c>
      <c r="I723" s="1" t="s">
        <v>6</v>
      </c>
      <c r="J723" s="1">
        <v>3</v>
      </c>
      <c r="K723" s="1" t="s">
        <v>7</v>
      </c>
      <c r="R723" t="str">
        <f t="shared" si="48"/>
        <v>Ack</v>
      </c>
    </row>
    <row r="724" spans="1:18" hidden="1" x14ac:dyDescent="0.25">
      <c r="A724" s="3">
        <f t="shared" si="45"/>
        <v>44761.576155937502</v>
      </c>
      <c r="B724" s="8" t="str">
        <f t="shared" si="46"/>
        <v>→</v>
      </c>
      <c r="C724" s="11">
        <f t="shared" si="47"/>
        <v>0.10100000000000001</v>
      </c>
      <c r="D724" s="2">
        <v>1658202579873</v>
      </c>
      <c r="E724" t="s">
        <v>0</v>
      </c>
      <c r="F724" s="1">
        <v>5</v>
      </c>
      <c r="G724" s="1">
        <v>21</v>
      </c>
      <c r="H724" s="1">
        <v>31</v>
      </c>
      <c r="I724" s="1">
        <v>9</v>
      </c>
      <c r="J724" s="1">
        <v>60</v>
      </c>
      <c r="K724" s="1" t="s">
        <v>11</v>
      </c>
      <c r="R724" t="str">
        <f t="shared" si="48"/>
        <v>PING FURNACE</v>
      </c>
    </row>
    <row r="725" spans="1:18" hidden="1" x14ac:dyDescent="0.25">
      <c r="A725" s="3">
        <f t="shared" si="45"/>
        <v>44761.576157627314</v>
      </c>
      <c r="B725" s="8" t="str">
        <f t="shared" si="46"/>
        <v>←</v>
      </c>
      <c r="C725" s="11">
        <f t="shared" si="47"/>
        <v>0.14599999999999999</v>
      </c>
      <c r="D725" s="2">
        <v>1658202580019</v>
      </c>
      <c r="E725" t="s">
        <v>0</v>
      </c>
      <c r="F725" s="1">
        <v>5</v>
      </c>
      <c r="G725" s="1">
        <v>31</v>
      </c>
      <c r="H725" s="1">
        <v>21</v>
      </c>
      <c r="I725" s="1" t="s">
        <v>6</v>
      </c>
      <c r="J725" s="1">
        <v>3</v>
      </c>
      <c r="K725" s="1" t="s">
        <v>7</v>
      </c>
      <c r="R725" t="str">
        <f t="shared" si="48"/>
        <v>Ack</v>
      </c>
    </row>
    <row r="726" spans="1:18" hidden="1" x14ac:dyDescent="0.25">
      <c r="A726" s="3">
        <f t="shared" si="45"/>
        <v>44761.576159363423</v>
      </c>
      <c r="B726" s="8" t="str">
        <f t="shared" si="46"/>
        <v>→</v>
      </c>
      <c r="C726" s="11">
        <f t="shared" si="47"/>
        <v>0.15</v>
      </c>
      <c r="D726" s="2">
        <v>1658202580169</v>
      </c>
      <c r="E726" t="s">
        <v>0</v>
      </c>
      <c r="F726" s="1" t="s">
        <v>3</v>
      </c>
      <c r="G726" s="1">
        <v>21</v>
      </c>
      <c r="H726" s="1">
        <v>31</v>
      </c>
      <c r="I726" s="1" t="s">
        <v>3</v>
      </c>
      <c r="J726" s="1" t="s">
        <v>6</v>
      </c>
      <c r="K726" s="1">
        <v>12</v>
      </c>
      <c r="L726" s="1">
        <v>24</v>
      </c>
      <c r="M726" s="1">
        <v>1</v>
      </c>
      <c r="N726" s="1">
        <v>78</v>
      </c>
      <c r="O726" s="1">
        <v>0</v>
      </c>
      <c r="P726" s="1" t="s">
        <v>34</v>
      </c>
      <c r="Q726" s="1">
        <v>77</v>
      </c>
      <c r="R726" t="str">
        <f t="shared" si="48"/>
        <v>TEMPERATURE INFO Set:18 Actual:18 Countdown:120</v>
      </c>
    </row>
    <row r="727" spans="1:18" hidden="1" x14ac:dyDescent="0.25">
      <c r="A727" s="3">
        <f t="shared" si="45"/>
        <v>44761.576160729164</v>
      </c>
      <c r="B727" s="8" t="str">
        <f t="shared" si="46"/>
        <v>←</v>
      </c>
      <c r="C727" s="11">
        <f t="shared" si="47"/>
        <v>0.11799999999999999</v>
      </c>
      <c r="D727" s="2">
        <v>1658202580287</v>
      </c>
      <c r="E727" t="s">
        <v>0</v>
      </c>
      <c r="F727" s="1">
        <v>5</v>
      </c>
      <c r="G727" s="1">
        <v>31</v>
      </c>
      <c r="H727" s="1">
        <v>21</v>
      </c>
      <c r="I727" s="1" t="s">
        <v>6</v>
      </c>
      <c r="J727" s="1">
        <v>3</v>
      </c>
      <c r="K727" s="1" t="s">
        <v>7</v>
      </c>
      <c r="R727" t="str">
        <f t="shared" si="48"/>
        <v>Ack</v>
      </c>
    </row>
    <row r="728" spans="1:18" x14ac:dyDescent="0.25">
      <c r="A728" s="3">
        <f t="shared" si="45"/>
        <v>44761.576162013887</v>
      </c>
      <c r="B728" s="8" t="str">
        <f t="shared" si="46"/>
        <v>→</v>
      </c>
      <c r="C728" s="11">
        <f t="shared" si="47"/>
        <v>0.111</v>
      </c>
      <c r="D728" s="2">
        <v>1658202580398</v>
      </c>
      <c r="E728" t="s">
        <v>0</v>
      </c>
      <c r="F728" s="1">
        <v>6</v>
      </c>
      <c r="G728" s="1">
        <v>21</v>
      </c>
      <c r="H728" s="1">
        <v>31</v>
      </c>
      <c r="I728" s="1">
        <v>29</v>
      </c>
      <c r="J728" s="1">
        <v>0</v>
      </c>
      <c r="K728" s="1" t="s">
        <v>13</v>
      </c>
      <c r="L728" s="1" t="s">
        <v>14</v>
      </c>
      <c r="R728" t="str">
        <f t="shared" si="48"/>
        <v>LONG PING FURNACE</v>
      </c>
    </row>
    <row r="729" spans="1:18" hidden="1" x14ac:dyDescent="0.25">
      <c r="A729" s="3">
        <f t="shared" si="45"/>
        <v>44761.576163275466</v>
      </c>
      <c r="B729" s="8" t="str">
        <f t="shared" si="46"/>
        <v>←</v>
      </c>
      <c r="C729" s="11">
        <f t="shared" si="47"/>
        <v>0.109</v>
      </c>
      <c r="D729" s="2">
        <v>1658202580507</v>
      </c>
      <c r="E729" t="s">
        <v>0</v>
      </c>
      <c r="F729" s="1">
        <v>5</v>
      </c>
      <c r="G729" s="1">
        <v>31</v>
      </c>
      <c r="H729" s="1">
        <v>21</v>
      </c>
      <c r="I729" s="1" t="s">
        <v>6</v>
      </c>
      <c r="J729" s="1">
        <v>3</v>
      </c>
      <c r="K729" s="1" t="s">
        <v>7</v>
      </c>
      <c r="R729" t="str">
        <f t="shared" si="48"/>
        <v>Ack</v>
      </c>
    </row>
    <row r="730" spans="1:18" hidden="1" x14ac:dyDescent="0.25">
      <c r="A730" s="3">
        <f t="shared" si="45"/>
        <v>44761.576164155085</v>
      </c>
      <c r="B730" s="8" t="str">
        <f t="shared" si="46"/>
        <v>→</v>
      </c>
      <c r="C730" s="11">
        <f t="shared" si="47"/>
        <v>7.5999999999999998E-2</v>
      </c>
      <c r="D730" s="2">
        <v>1658202580583</v>
      </c>
      <c r="E730" t="s">
        <v>0</v>
      </c>
      <c r="F730" s="1">
        <v>5</v>
      </c>
      <c r="G730" s="1">
        <v>21</v>
      </c>
      <c r="H730" s="1">
        <v>31</v>
      </c>
      <c r="I730" s="1">
        <v>6</v>
      </c>
      <c r="J730" s="1">
        <v>60</v>
      </c>
      <c r="K730" s="1">
        <v>83</v>
      </c>
      <c r="R730" t="str">
        <f t="shared" si="48"/>
        <v>FURNACE STATUS REQUEST</v>
      </c>
    </row>
    <row r="731" spans="1:18" hidden="1" x14ac:dyDescent="0.25">
      <c r="A731" s="3">
        <f t="shared" si="45"/>
        <v>44761.576166319443</v>
      </c>
      <c r="B731" s="8" t="str">
        <f t="shared" si="46"/>
        <v>←</v>
      </c>
      <c r="C731" s="11">
        <f t="shared" si="47"/>
        <v>0.187</v>
      </c>
      <c r="D731" s="2">
        <v>1658202580770</v>
      </c>
      <c r="E731" t="s">
        <v>0</v>
      </c>
      <c r="F731" s="1">
        <v>9</v>
      </c>
      <c r="G731" s="1">
        <v>31</v>
      </c>
      <c r="H731" s="1">
        <v>21</v>
      </c>
      <c r="I731" s="1" t="s">
        <v>1</v>
      </c>
      <c r="J731" s="1">
        <v>0</v>
      </c>
      <c r="K731" s="1">
        <v>27</v>
      </c>
      <c r="L731" s="1">
        <v>0</v>
      </c>
      <c r="M731" s="1">
        <v>0</v>
      </c>
      <c r="N731" s="1" t="s">
        <v>2</v>
      </c>
      <c r="O731" s="1">
        <v>20</v>
      </c>
      <c r="R731" t="str">
        <f t="shared" si="48"/>
        <v>FURNACE STATUS RESPONSE Fan:1 Ignition:1 Burner:1 Unknown:20</v>
      </c>
    </row>
    <row r="732" spans="1:18" hidden="1" x14ac:dyDescent="0.25">
      <c r="A732" s="3">
        <f t="shared" si="45"/>
        <v>44761.576847870369</v>
      </c>
      <c r="B732" s="8" t="str">
        <f t="shared" si="46"/>
        <v>→</v>
      </c>
      <c r="C732" s="11">
        <f t="shared" si="47"/>
        <v>58.886000000000003</v>
      </c>
      <c r="D732" s="2">
        <v>1658202639656</v>
      </c>
      <c r="E732" t="s">
        <v>0</v>
      </c>
      <c r="F732" s="1">
        <v>8</v>
      </c>
      <c r="G732" s="1">
        <v>21</v>
      </c>
      <c r="H732" s="1">
        <v>31</v>
      </c>
      <c r="I732" s="1">
        <v>7</v>
      </c>
      <c r="J732" s="1" t="s">
        <v>70</v>
      </c>
      <c r="K732" s="1" t="s">
        <v>51</v>
      </c>
      <c r="L732" s="1">
        <v>1</v>
      </c>
      <c r="M732" s="1" t="s">
        <v>52</v>
      </c>
      <c r="N732" s="1" t="s">
        <v>109</v>
      </c>
      <c r="R732" t="str">
        <f t="shared" si="48"/>
        <v>TIME 13:45 Tue</v>
      </c>
    </row>
    <row r="733" spans="1:18" hidden="1" x14ac:dyDescent="0.25">
      <c r="A733" s="3">
        <f t="shared" si="45"/>
        <v>44761.576849537036</v>
      </c>
      <c r="B733" s="8" t="str">
        <f t="shared" si="46"/>
        <v>←</v>
      </c>
      <c r="C733" s="11">
        <f t="shared" si="47"/>
        <v>0.14399999999999999</v>
      </c>
      <c r="D733" s="2">
        <v>1658202639800</v>
      </c>
      <c r="E733" t="s">
        <v>0</v>
      </c>
      <c r="F733" s="1">
        <v>5</v>
      </c>
      <c r="G733" s="1">
        <v>31</v>
      </c>
      <c r="H733" s="1">
        <v>21</v>
      </c>
      <c r="I733" s="1" t="s">
        <v>6</v>
      </c>
      <c r="J733" s="1">
        <v>3</v>
      </c>
      <c r="K733" s="1" t="s">
        <v>7</v>
      </c>
      <c r="R733" t="str">
        <f t="shared" si="48"/>
        <v>Ack</v>
      </c>
    </row>
    <row r="734" spans="1:18" hidden="1" x14ac:dyDescent="0.25">
      <c r="A734" s="3">
        <f t="shared" si="45"/>
        <v>44761.576850902777</v>
      </c>
      <c r="B734" s="8" t="str">
        <f t="shared" si="46"/>
        <v>→</v>
      </c>
      <c r="C734" s="11">
        <f t="shared" si="47"/>
        <v>0.11799999999999999</v>
      </c>
      <c r="D734" s="2">
        <v>1658202639918</v>
      </c>
      <c r="E734" t="s">
        <v>0</v>
      </c>
      <c r="F734" s="1">
        <v>5</v>
      </c>
      <c r="G734" s="1">
        <v>21</v>
      </c>
      <c r="H734" s="1">
        <v>31</v>
      </c>
      <c r="I734" s="1">
        <v>9</v>
      </c>
      <c r="J734" s="1">
        <v>60</v>
      </c>
      <c r="K734" s="1" t="s">
        <v>11</v>
      </c>
      <c r="R734" t="str">
        <f t="shared" si="48"/>
        <v>PING FURNACE</v>
      </c>
    </row>
    <row r="735" spans="1:18" hidden="1" x14ac:dyDescent="0.25">
      <c r="A735" s="3">
        <f t="shared" si="45"/>
        <v>44761.576851921294</v>
      </c>
      <c r="B735" s="8" t="str">
        <f t="shared" si="46"/>
        <v>←</v>
      </c>
      <c r="C735" s="11">
        <f t="shared" si="47"/>
        <v>8.7999999999999995E-2</v>
      </c>
      <c r="D735" s="2">
        <v>1658202640006</v>
      </c>
      <c r="E735" t="s">
        <v>0</v>
      </c>
      <c r="F735" s="1">
        <v>5</v>
      </c>
      <c r="G735" s="1">
        <v>31</v>
      </c>
      <c r="H735" s="1">
        <v>21</v>
      </c>
      <c r="I735" s="1" t="s">
        <v>6</v>
      </c>
      <c r="J735" s="1">
        <v>3</v>
      </c>
      <c r="K735" s="1" t="s">
        <v>7</v>
      </c>
      <c r="R735" t="str">
        <f t="shared" si="48"/>
        <v>Ack</v>
      </c>
    </row>
    <row r="736" spans="1:18" hidden="1" x14ac:dyDescent="0.25">
      <c r="A736" s="3">
        <f t="shared" si="45"/>
        <v>44761.576853738421</v>
      </c>
      <c r="B736" s="8" t="str">
        <f t="shared" si="46"/>
        <v>→</v>
      </c>
      <c r="C736" s="11">
        <f t="shared" si="47"/>
        <v>0.157</v>
      </c>
      <c r="D736" s="2">
        <v>1658202640163</v>
      </c>
      <c r="E736" t="s">
        <v>0</v>
      </c>
      <c r="F736" s="1" t="s">
        <v>3</v>
      </c>
      <c r="G736" s="1">
        <v>21</v>
      </c>
      <c r="H736" s="1">
        <v>31</v>
      </c>
      <c r="I736" s="1" t="s">
        <v>3</v>
      </c>
      <c r="J736" s="1" t="s">
        <v>6</v>
      </c>
      <c r="K736" s="1">
        <v>12</v>
      </c>
      <c r="L736" s="1">
        <v>24</v>
      </c>
      <c r="M736" s="1">
        <v>1</v>
      </c>
      <c r="N736" s="1" t="s">
        <v>69</v>
      </c>
      <c r="O736" s="1">
        <v>0</v>
      </c>
      <c r="P736" s="1">
        <v>6</v>
      </c>
      <c r="Q736" s="1">
        <v>72</v>
      </c>
      <c r="R736" t="str">
        <f t="shared" si="48"/>
        <v>TEMPERATURE INFO Set:18 Actual:18 Countdown:60</v>
      </c>
    </row>
    <row r="737" spans="1:18" hidden="1" x14ac:dyDescent="0.25">
      <c r="A737" s="3">
        <f t="shared" si="45"/>
        <v>44761.576855011568</v>
      </c>
      <c r="B737" s="8" t="str">
        <f t="shared" si="46"/>
        <v>←</v>
      </c>
      <c r="C737" s="11">
        <f t="shared" si="47"/>
        <v>0.11</v>
      </c>
      <c r="D737" s="2">
        <v>1658202640273</v>
      </c>
      <c r="E737" t="s">
        <v>0</v>
      </c>
      <c r="F737" s="1">
        <v>5</v>
      </c>
      <c r="G737" s="1">
        <v>31</v>
      </c>
      <c r="H737" s="1">
        <v>21</v>
      </c>
      <c r="I737" s="1" t="s">
        <v>6</v>
      </c>
      <c r="J737" s="1">
        <v>3</v>
      </c>
      <c r="K737" s="1" t="s">
        <v>7</v>
      </c>
      <c r="R737" t="str">
        <f t="shared" si="48"/>
        <v>Ack</v>
      </c>
    </row>
    <row r="738" spans="1:18" x14ac:dyDescent="0.25">
      <c r="A738" s="3">
        <f t="shared" ref="A738:A801" si="49">D738/(1000*60*60*24)+25569+10/24</f>
        <v>44761.576856319443</v>
      </c>
      <c r="B738" s="8" t="str">
        <f t="shared" ref="B738:B801" si="50">IF(AND(G738=21,H738=31),"→",IF(AND(G738=31,H738=21),"←","Error"))</f>
        <v>→</v>
      </c>
      <c r="C738" s="11">
        <f t="shared" ref="C738:C801" si="51">(D738-D737)/1000</f>
        <v>0.113</v>
      </c>
      <c r="D738" s="2">
        <v>1658202640386</v>
      </c>
      <c r="E738" t="s">
        <v>0</v>
      </c>
      <c r="F738" s="1">
        <v>6</v>
      </c>
      <c r="G738" s="1">
        <v>21</v>
      </c>
      <c r="H738" s="1">
        <v>31</v>
      </c>
      <c r="I738" s="1">
        <v>29</v>
      </c>
      <c r="J738" s="1">
        <v>0</v>
      </c>
      <c r="K738" s="1" t="s">
        <v>13</v>
      </c>
      <c r="L738" s="1" t="s">
        <v>14</v>
      </c>
      <c r="R738" t="str">
        <f t="shared" si="48"/>
        <v>LONG PING FURNACE</v>
      </c>
    </row>
    <row r="739" spans="1:18" hidden="1" x14ac:dyDescent="0.25">
      <c r="A739" s="3">
        <f t="shared" si="49"/>
        <v>44761.576857708329</v>
      </c>
      <c r="B739" s="8" t="str">
        <f t="shared" si="50"/>
        <v>←</v>
      </c>
      <c r="C739" s="11">
        <f t="shared" si="51"/>
        <v>0.12</v>
      </c>
      <c r="D739" s="2">
        <v>1658202640506</v>
      </c>
      <c r="E739" t="s">
        <v>0</v>
      </c>
      <c r="F739" s="1">
        <v>5</v>
      </c>
      <c r="G739" s="1">
        <v>31</v>
      </c>
      <c r="H739" s="1">
        <v>21</v>
      </c>
      <c r="I739" s="1" t="s">
        <v>6</v>
      </c>
      <c r="J739" s="1">
        <v>3</v>
      </c>
      <c r="K739" s="1" t="s">
        <v>7</v>
      </c>
      <c r="R739" t="str">
        <f t="shared" si="48"/>
        <v>Ack</v>
      </c>
    </row>
    <row r="740" spans="1:18" hidden="1" x14ac:dyDescent="0.25">
      <c r="A740" s="3">
        <f t="shared" si="49"/>
        <v>44761.576858726847</v>
      </c>
      <c r="B740" s="8" t="str">
        <f t="shared" si="50"/>
        <v>→</v>
      </c>
      <c r="C740" s="11">
        <f t="shared" si="51"/>
        <v>8.7999999999999995E-2</v>
      </c>
      <c r="D740" s="2">
        <v>1658202640594</v>
      </c>
      <c r="E740" t="s">
        <v>0</v>
      </c>
      <c r="F740" s="1">
        <v>5</v>
      </c>
      <c r="G740" s="1">
        <v>21</v>
      </c>
      <c r="H740" s="1">
        <v>31</v>
      </c>
      <c r="I740" s="1">
        <v>6</v>
      </c>
      <c r="J740" s="1">
        <v>60</v>
      </c>
      <c r="K740" s="1">
        <v>83</v>
      </c>
      <c r="R740" t="str">
        <f t="shared" si="48"/>
        <v>FURNACE STATUS REQUEST</v>
      </c>
    </row>
    <row r="741" spans="1:18" hidden="1" x14ac:dyDescent="0.25">
      <c r="A741" s="3">
        <f t="shared" si="49"/>
        <v>44761.576860393521</v>
      </c>
      <c r="B741" s="8" t="str">
        <f t="shared" si="50"/>
        <v>←</v>
      </c>
      <c r="C741" s="11">
        <f t="shared" si="51"/>
        <v>0.14399999999999999</v>
      </c>
      <c r="D741" s="2">
        <v>1658202640738</v>
      </c>
      <c r="E741" t="s">
        <v>0</v>
      </c>
      <c r="F741" s="1">
        <v>9</v>
      </c>
      <c r="G741" s="1">
        <v>31</v>
      </c>
      <c r="H741" s="1">
        <v>21</v>
      </c>
      <c r="I741" s="1" t="s">
        <v>1</v>
      </c>
      <c r="J741" s="1">
        <v>0</v>
      </c>
      <c r="K741" s="1">
        <v>27</v>
      </c>
      <c r="L741" s="1">
        <v>0</v>
      </c>
      <c r="M741" s="1">
        <v>0</v>
      </c>
      <c r="N741" s="1" t="s">
        <v>2</v>
      </c>
      <c r="O741" s="1">
        <v>20</v>
      </c>
      <c r="R741" t="str">
        <f t="shared" si="48"/>
        <v>FURNACE STATUS RESPONSE Fan:1 Ignition:1 Burner:1 Unknown:20</v>
      </c>
    </row>
    <row r="742" spans="1:18" hidden="1" x14ac:dyDescent="0.25">
      <c r="A742" s="3">
        <f t="shared" si="49"/>
        <v>44761.577446944437</v>
      </c>
      <c r="B742" s="8" t="str">
        <f t="shared" si="50"/>
        <v>→</v>
      </c>
      <c r="C742" s="11">
        <f t="shared" si="51"/>
        <v>50.677999999999997</v>
      </c>
      <c r="D742" s="2">
        <v>1658202691416</v>
      </c>
      <c r="E742" t="s">
        <v>0</v>
      </c>
      <c r="F742" s="1" t="s">
        <v>3</v>
      </c>
      <c r="G742" s="1">
        <v>21</v>
      </c>
      <c r="H742" s="1">
        <v>31</v>
      </c>
      <c r="I742" s="1" t="s">
        <v>3</v>
      </c>
      <c r="J742" s="1">
        <v>0</v>
      </c>
      <c r="K742" s="1">
        <v>12</v>
      </c>
      <c r="L742" s="1">
        <v>25</v>
      </c>
      <c r="M742" s="1">
        <v>1</v>
      </c>
      <c r="N742" s="1" t="s">
        <v>4</v>
      </c>
      <c r="O742" s="1">
        <v>0</v>
      </c>
      <c r="P742" s="1" t="s">
        <v>101</v>
      </c>
      <c r="Q742" s="1" t="s">
        <v>108</v>
      </c>
      <c r="R742" t="str">
        <f t="shared" si="48"/>
        <v>TEMPERATURE INFO Set:18 Actual:18.5 Countdown:180</v>
      </c>
    </row>
    <row r="743" spans="1:18" hidden="1" x14ac:dyDescent="0.25">
      <c r="A743" s="3">
        <f t="shared" si="49"/>
        <v>44761.577448564807</v>
      </c>
      <c r="B743" s="8" t="str">
        <f t="shared" si="50"/>
        <v>←</v>
      </c>
      <c r="C743" s="11">
        <f t="shared" si="51"/>
        <v>0.14000000000000001</v>
      </c>
      <c r="D743" s="2">
        <v>1658202691556</v>
      </c>
      <c r="E743" t="s">
        <v>0</v>
      </c>
      <c r="F743" s="1">
        <v>5</v>
      </c>
      <c r="G743" s="1">
        <v>31</v>
      </c>
      <c r="H743" s="1">
        <v>21</v>
      </c>
      <c r="I743" s="1" t="s">
        <v>6</v>
      </c>
      <c r="J743" s="1">
        <v>3</v>
      </c>
      <c r="K743" s="1" t="s">
        <v>7</v>
      </c>
      <c r="R743" t="str">
        <f t="shared" si="48"/>
        <v>Ack</v>
      </c>
    </row>
    <row r="744" spans="1:18" hidden="1" x14ac:dyDescent="0.25">
      <c r="A744" s="3">
        <f t="shared" si="49"/>
        <v>44761.577450671299</v>
      </c>
      <c r="B744" s="8" t="str">
        <f t="shared" si="50"/>
        <v>←</v>
      </c>
      <c r="C744" s="11">
        <f t="shared" si="51"/>
        <v>0.182</v>
      </c>
      <c r="D744" s="2">
        <v>1658202691738</v>
      </c>
      <c r="E744" t="s">
        <v>0</v>
      </c>
      <c r="F744" s="1">
        <v>9</v>
      </c>
      <c r="G744" s="1">
        <v>31</v>
      </c>
      <c r="H744" s="1">
        <v>21</v>
      </c>
      <c r="I744" s="1">
        <v>5</v>
      </c>
      <c r="J744" s="1">
        <v>0</v>
      </c>
      <c r="K744" s="1">
        <v>23</v>
      </c>
      <c r="L744" s="1">
        <v>0</v>
      </c>
      <c r="M744" s="1">
        <v>0</v>
      </c>
      <c r="N744" s="1" t="s">
        <v>8</v>
      </c>
      <c r="O744" s="1">
        <v>20</v>
      </c>
      <c r="R744" t="str">
        <f t="shared" si="48"/>
        <v>FURNACE STATUS REPORT Fan:1 Ignition:1 Burner:0 Unknown:20</v>
      </c>
    </row>
    <row r="745" spans="1:18" hidden="1" x14ac:dyDescent="0.25">
      <c r="A745" s="3">
        <f t="shared" si="49"/>
        <v>44761.577451620367</v>
      </c>
      <c r="B745" s="8" t="str">
        <f t="shared" si="50"/>
        <v>→</v>
      </c>
      <c r="C745" s="11">
        <f t="shared" si="51"/>
        <v>8.2000000000000003E-2</v>
      </c>
      <c r="D745" s="2">
        <v>1658202691820</v>
      </c>
      <c r="E745" t="s">
        <v>0</v>
      </c>
      <c r="F745" s="1">
        <v>5</v>
      </c>
      <c r="G745" s="1">
        <v>21</v>
      </c>
      <c r="H745" s="1">
        <v>31</v>
      </c>
      <c r="I745" s="1" t="s">
        <v>6</v>
      </c>
      <c r="J745" s="1">
        <v>62</v>
      </c>
      <c r="K745" s="1">
        <v>95</v>
      </c>
      <c r="R745" t="str">
        <f t="shared" si="48"/>
        <v>Ack</v>
      </c>
    </row>
    <row r="746" spans="1:18" hidden="1" x14ac:dyDescent="0.25">
      <c r="A746" s="3">
        <f t="shared" si="49"/>
        <v>44761.57754233796</v>
      </c>
      <c r="B746" s="8" t="str">
        <f t="shared" si="50"/>
        <v>→</v>
      </c>
      <c r="C746" s="11">
        <f t="shared" si="51"/>
        <v>7.8380000000000001</v>
      </c>
      <c r="D746" s="2">
        <v>1658202699658</v>
      </c>
      <c r="E746" t="s">
        <v>0</v>
      </c>
      <c r="F746" s="1">
        <v>8</v>
      </c>
      <c r="G746" s="1">
        <v>21</v>
      </c>
      <c r="H746" s="1">
        <v>31</v>
      </c>
      <c r="I746" s="1">
        <v>7</v>
      </c>
      <c r="J746" s="1" t="s">
        <v>70</v>
      </c>
      <c r="K746" s="1" t="s">
        <v>53</v>
      </c>
      <c r="L746" s="1">
        <v>1</v>
      </c>
      <c r="M746" s="1">
        <v>70</v>
      </c>
      <c r="N746" s="1" t="s">
        <v>109</v>
      </c>
      <c r="R746" t="str">
        <f t="shared" si="48"/>
        <v>TIME 13:46 Tue</v>
      </c>
    </row>
    <row r="747" spans="1:18" hidden="1" x14ac:dyDescent="0.25">
      <c r="A747" s="3">
        <f t="shared" si="49"/>
        <v>44761.577543738422</v>
      </c>
      <c r="B747" s="8" t="str">
        <f t="shared" si="50"/>
        <v>←</v>
      </c>
      <c r="C747" s="11">
        <f t="shared" si="51"/>
        <v>0.121</v>
      </c>
      <c r="D747" s="2">
        <v>1658202699779</v>
      </c>
      <c r="E747" t="s">
        <v>0</v>
      </c>
      <c r="F747" s="1">
        <v>5</v>
      </c>
      <c r="G747" s="1">
        <v>31</v>
      </c>
      <c r="H747" s="1">
        <v>21</v>
      </c>
      <c r="I747" s="1" t="s">
        <v>6</v>
      </c>
      <c r="J747" s="1">
        <v>3</v>
      </c>
      <c r="K747" s="1" t="s">
        <v>7</v>
      </c>
      <c r="R747" t="str">
        <f t="shared" si="48"/>
        <v>Ack</v>
      </c>
    </row>
    <row r="748" spans="1:18" hidden="1" x14ac:dyDescent="0.25">
      <c r="A748" s="3">
        <f t="shared" si="49"/>
        <v>44761.57754504629</v>
      </c>
      <c r="B748" s="8" t="str">
        <f t="shared" si="50"/>
        <v>→</v>
      </c>
      <c r="C748" s="11">
        <f t="shared" si="51"/>
        <v>0.113</v>
      </c>
      <c r="D748" s="2">
        <v>1658202699892</v>
      </c>
      <c r="E748" t="s">
        <v>0</v>
      </c>
      <c r="F748" s="1">
        <v>5</v>
      </c>
      <c r="G748" s="1">
        <v>21</v>
      </c>
      <c r="H748" s="1">
        <v>31</v>
      </c>
      <c r="I748" s="1">
        <v>9</v>
      </c>
      <c r="J748" s="1">
        <v>60</v>
      </c>
      <c r="K748" s="1" t="s">
        <v>11</v>
      </c>
      <c r="R748" t="str">
        <f t="shared" si="48"/>
        <v>PING FURNACE</v>
      </c>
    </row>
    <row r="749" spans="1:18" hidden="1" x14ac:dyDescent="0.25">
      <c r="A749" s="3">
        <f t="shared" si="49"/>
        <v>44761.577546504624</v>
      </c>
      <c r="B749" s="8" t="str">
        <f t="shared" si="50"/>
        <v>←</v>
      </c>
      <c r="C749" s="11">
        <f t="shared" si="51"/>
        <v>0.126</v>
      </c>
      <c r="D749" s="2">
        <v>1658202700018</v>
      </c>
      <c r="E749" t="s">
        <v>0</v>
      </c>
      <c r="F749" s="1">
        <v>5</v>
      </c>
      <c r="G749" s="1">
        <v>31</v>
      </c>
      <c r="H749" s="1">
        <v>21</v>
      </c>
      <c r="I749" s="1" t="s">
        <v>6</v>
      </c>
      <c r="J749" s="1">
        <v>3</v>
      </c>
      <c r="K749" s="1" t="s">
        <v>7</v>
      </c>
      <c r="R749" t="str">
        <f t="shared" si="48"/>
        <v>Ack</v>
      </c>
    </row>
    <row r="750" spans="1:18" hidden="1" x14ac:dyDescent="0.25">
      <c r="A750" s="3">
        <f t="shared" si="49"/>
        <v>44761.577548368055</v>
      </c>
      <c r="B750" s="8" t="str">
        <f t="shared" si="50"/>
        <v>→</v>
      </c>
      <c r="C750" s="11">
        <f t="shared" si="51"/>
        <v>0.161</v>
      </c>
      <c r="D750" s="2">
        <v>1658202700179</v>
      </c>
      <c r="E750" t="s">
        <v>0</v>
      </c>
      <c r="F750" s="1" t="s">
        <v>3</v>
      </c>
      <c r="G750" s="1">
        <v>21</v>
      </c>
      <c r="H750" s="1">
        <v>31</v>
      </c>
      <c r="I750" s="1" t="s">
        <v>3</v>
      </c>
      <c r="J750" s="1">
        <v>0</v>
      </c>
      <c r="K750" s="1">
        <v>12</v>
      </c>
      <c r="L750" s="1">
        <v>25</v>
      </c>
      <c r="M750" s="1">
        <v>1</v>
      </c>
      <c r="N750" s="1" t="s">
        <v>4</v>
      </c>
      <c r="O750" s="1">
        <v>0</v>
      </c>
      <c r="P750" s="1" t="s">
        <v>101</v>
      </c>
      <c r="Q750" s="1" t="s">
        <v>108</v>
      </c>
      <c r="R750" t="str">
        <f t="shared" si="48"/>
        <v>TEMPERATURE INFO Set:18 Actual:18.5 Countdown:180</v>
      </c>
    </row>
    <row r="751" spans="1:18" hidden="1" x14ac:dyDescent="0.25">
      <c r="A751" s="3">
        <f t="shared" si="49"/>
        <v>44761.577549710644</v>
      </c>
      <c r="B751" s="8" t="str">
        <f t="shared" si="50"/>
        <v>←</v>
      </c>
      <c r="C751" s="11">
        <f t="shared" si="51"/>
        <v>0.11600000000000001</v>
      </c>
      <c r="D751" s="2">
        <v>1658202700295</v>
      </c>
      <c r="E751" t="s">
        <v>0</v>
      </c>
      <c r="F751" s="1">
        <v>5</v>
      </c>
      <c r="G751" s="1">
        <v>31</v>
      </c>
      <c r="H751" s="1">
        <v>21</v>
      </c>
      <c r="I751" s="1" t="s">
        <v>6</v>
      </c>
      <c r="J751" s="1">
        <v>3</v>
      </c>
      <c r="K751" s="1" t="s">
        <v>7</v>
      </c>
      <c r="R751" t="str">
        <f t="shared" si="48"/>
        <v>Ack</v>
      </c>
    </row>
    <row r="752" spans="1:18" x14ac:dyDescent="0.25">
      <c r="A752" s="3">
        <f t="shared" si="49"/>
        <v>44761.577550937502</v>
      </c>
      <c r="B752" s="8" t="str">
        <f t="shared" si="50"/>
        <v>→</v>
      </c>
      <c r="C752" s="11">
        <f t="shared" si="51"/>
        <v>0.106</v>
      </c>
      <c r="D752" s="2">
        <v>1658202700401</v>
      </c>
      <c r="E752" t="s">
        <v>0</v>
      </c>
      <c r="F752" s="1">
        <v>6</v>
      </c>
      <c r="G752" s="1">
        <v>21</v>
      </c>
      <c r="H752" s="1">
        <v>31</v>
      </c>
      <c r="I752" s="1">
        <v>29</v>
      </c>
      <c r="J752" s="1">
        <v>0</v>
      </c>
      <c r="K752" s="1" t="s">
        <v>13</v>
      </c>
      <c r="L752" s="1" t="s">
        <v>14</v>
      </c>
      <c r="R752" t="str">
        <f t="shared" si="48"/>
        <v>LONG PING FURNACE</v>
      </c>
    </row>
    <row r="753" spans="1:18" hidden="1" x14ac:dyDescent="0.25">
      <c r="A753" s="3">
        <f t="shared" si="49"/>
        <v>44761.5775521412</v>
      </c>
      <c r="B753" s="8" t="str">
        <f t="shared" si="50"/>
        <v>←</v>
      </c>
      <c r="C753" s="11">
        <f t="shared" si="51"/>
        <v>0.104</v>
      </c>
      <c r="D753" s="2">
        <v>1658202700505</v>
      </c>
      <c r="E753" t="s">
        <v>0</v>
      </c>
      <c r="F753" s="1">
        <v>5</v>
      </c>
      <c r="G753" s="1">
        <v>31</v>
      </c>
      <c r="H753" s="1">
        <v>21</v>
      </c>
      <c r="I753" s="1" t="s">
        <v>6</v>
      </c>
      <c r="J753" s="1">
        <v>3</v>
      </c>
      <c r="K753" s="1" t="s">
        <v>7</v>
      </c>
      <c r="R753" t="str">
        <f t="shared" si="48"/>
        <v>Ack</v>
      </c>
    </row>
    <row r="754" spans="1:18" hidden="1" x14ac:dyDescent="0.25">
      <c r="A754" s="3">
        <f t="shared" si="49"/>
        <v>44761.577553206014</v>
      </c>
      <c r="B754" s="8" t="str">
        <f t="shared" si="50"/>
        <v>→</v>
      </c>
      <c r="C754" s="11">
        <f t="shared" si="51"/>
        <v>9.1999999999999998E-2</v>
      </c>
      <c r="D754" s="2">
        <v>1658202700597</v>
      </c>
      <c r="E754" t="s">
        <v>0</v>
      </c>
      <c r="F754" s="1">
        <v>5</v>
      </c>
      <c r="G754" s="1">
        <v>21</v>
      </c>
      <c r="H754" s="1">
        <v>31</v>
      </c>
      <c r="I754" s="1">
        <v>6</v>
      </c>
      <c r="J754" s="1">
        <v>60</v>
      </c>
      <c r="K754" s="1">
        <v>83</v>
      </c>
      <c r="R754" t="str">
        <f t="shared" si="48"/>
        <v>FURNACE STATUS REQUEST</v>
      </c>
    </row>
    <row r="755" spans="1:18" hidden="1" x14ac:dyDescent="0.25">
      <c r="A755" s="3">
        <f t="shared" si="49"/>
        <v>44761.577555011572</v>
      </c>
      <c r="B755" s="8" t="str">
        <f t="shared" si="50"/>
        <v>←</v>
      </c>
      <c r="C755" s="11">
        <f t="shared" si="51"/>
        <v>0.156</v>
      </c>
      <c r="D755" s="2">
        <v>1658202700753</v>
      </c>
      <c r="E755" t="s">
        <v>0</v>
      </c>
      <c r="F755" s="1">
        <v>9</v>
      </c>
      <c r="G755" s="1">
        <v>31</v>
      </c>
      <c r="H755" s="1">
        <v>21</v>
      </c>
      <c r="I755" s="1" t="s">
        <v>1</v>
      </c>
      <c r="J755" s="1">
        <v>0</v>
      </c>
      <c r="K755" s="1">
        <v>23</v>
      </c>
      <c r="L755" s="1">
        <v>0</v>
      </c>
      <c r="M755" s="1">
        <v>0</v>
      </c>
      <c r="N755" s="1">
        <v>71</v>
      </c>
      <c r="O755" s="1">
        <v>73</v>
      </c>
      <c r="R755" t="str">
        <f t="shared" si="48"/>
        <v>FURNACE STATUS RESPONSE Fan:1 Ignition:1 Burner:0 Unknown:20</v>
      </c>
    </row>
    <row r="756" spans="1:18" hidden="1" x14ac:dyDescent="0.25">
      <c r="A756" s="3">
        <f t="shared" si="49"/>
        <v>44761.578064340276</v>
      </c>
      <c r="B756" s="8" t="str">
        <f t="shared" si="50"/>
        <v>←</v>
      </c>
      <c r="C756" s="11">
        <f t="shared" si="51"/>
        <v>44.006</v>
      </c>
      <c r="D756" s="2">
        <v>1658202744759</v>
      </c>
      <c r="E756" t="s">
        <v>0</v>
      </c>
      <c r="F756" s="1">
        <v>9</v>
      </c>
      <c r="G756" s="1">
        <v>31</v>
      </c>
      <c r="H756" s="1">
        <v>21</v>
      </c>
      <c r="I756" s="1">
        <v>5</v>
      </c>
      <c r="J756" s="1">
        <v>0</v>
      </c>
      <c r="K756" s="1">
        <v>21</v>
      </c>
      <c r="L756" s="1">
        <v>0</v>
      </c>
      <c r="M756" s="1">
        <v>0</v>
      </c>
      <c r="N756" s="1">
        <v>59</v>
      </c>
      <c r="O756" s="1" t="s">
        <v>3</v>
      </c>
      <c r="R756" t="str">
        <f t="shared" si="48"/>
        <v>FURNACE STATUS REPORT Fan:1 Ignition:0 Burner:0 Unknown:20</v>
      </c>
    </row>
    <row r="757" spans="1:18" hidden="1" x14ac:dyDescent="0.25">
      <c r="A757" s="3">
        <f t="shared" si="49"/>
        <v>44761.578065243055</v>
      </c>
      <c r="B757" s="8" t="str">
        <f t="shared" si="50"/>
        <v>→</v>
      </c>
      <c r="C757" s="11">
        <f t="shared" si="51"/>
        <v>7.8E-2</v>
      </c>
      <c r="D757" s="2">
        <v>1658202744837</v>
      </c>
      <c r="E757" t="s">
        <v>0</v>
      </c>
      <c r="F757" s="1">
        <v>5</v>
      </c>
      <c r="G757" s="1">
        <v>21</v>
      </c>
      <c r="H757" s="1">
        <v>31</v>
      </c>
      <c r="I757" s="1" t="s">
        <v>6</v>
      </c>
      <c r="J757" s="1">
        <v>62</v>
      </c>
      <c r="K757" s="1">
        <v>95</v>
      </c>
      <c r="R757" t="str">
        <f t="shared" si="48"/>
        <v>Ack</v>
      </c>
    </row>
    <row r="758" spans="1:18" hidden="1" x14ac:dyDescent="0.25">
      <c r="A758" s="3">
        <f t="shared" si="49"/>
        <v>44761.578067696755</v>
      </c>
      <c r="B758" s="8" t="str">
        <f t="shared" si="50"/>
        <v>←</v>
      </c>
      <c r="C758" s="11">
        <f t="shared" si="51"/>
        <v>0.21199999999999999</v>
      </c>
      <c r="D758" s="2">
        <v>1658202745049</v>
      </c>
      <c r="E758" t="s">
        <v>0</v>
      </c>
      <c r="F758" s="1">
        <v>9</v>
      </c>
      <c r="G758" s="1">
        <v>31</v>
      </c>
      <c r="H758" s="1">
        <v>21</v>
      </c>
      <c r="I758" s="1">
        <v>5</v>
      </c>
      <c r="J758" s="1">
        <v>0</v>
      </c>
      <c r="K758" s="1">
        <v>1</v>
      </c>
      <c r="L758" s="1">
        <v>0</v>
      </c>
      <c r="M758" s="1">
        <v>0</v>
      </c>
      <c r="N758" s="1" t="s">
        <v>15</v>
      </c>
      <c r="O758" s="1">
        <v>88</v>
      </c>
      <c r="R758" t="str">
        <f t="shared" si="48"/>
        <v>FURNACE STATUS REPORT Fan:1 Ignition:0 Burner:0 Unknown:0</v>
      </c>
    </row>
    <row r="759" spans="1:18" hidden="1" x14ac:dyDescent="0.25">
      <c r="A759" s="3">
        <f t="shared" si="49"/>
        <v>44761.578068819443</v>
      </c>
      <c r="B759" s="8" t="str">
        <f t="shared" si="50"/>
        <v>→</v>
      </c>
      <c r="C759" s="11">
        <f t="shared" si="51"/>
        <v>9.7000000000000003E-2</v>
      </c>
      <c r="D759" s="2">
        <v>1658202745146</v>
      </c>
      <c r="E759" t="s">
        <v>0</v>
      </c>
      <c r="F759" s="1">
        <v>5</v>
      </c>
      <c r="G759" s="1">
        <v>21</v>
      </c>
      <c r="H759" s="1">
        <v>31</v>
      </c>
      <c r="I759" s="1" t="s">
        <v>6</v>
      </c>
      <c r="J759" s="1">
        <v>62</v>
      </c>
      <c r="K759" s="1">
        <v>95</v>
      </c>
      <c r="R759" t="str">
        <f t="shared" si="48"/>
        <v>Ack</v>
      </c>
    </row>
    <row r="760" spans="1:18" hidden="1" x14ac:dyDescent="0.25">
      <c r="A760" s="3">
        <f t="shared" si="49"/>
        <v>44761.578238576381</v>
      </c>
      <c r="B760" s="8" t="str">
        <f t="shared" si="50"/>
        <v>→</v>
      </c>
      <c r="C760" s="11">
        <f t="shared" si="51"/>
        <v>14.667</v>
      </c>
      <c r="D760" s="2">
        <v>1658202759813</v>
      </c>
      <c r="E760" t="s">
        <v>0</v>
      </c>
      <c r="F760" s="1">
        <v>8</v>
      </c>
      <c r="G760" s="1">
        <v>21</v>
      </c>
      <c r="H760" s="1">
        <v>31</v>
      </c>
      <c r="I760" s="1">
        <v>7</v>
      </c>
      <c r="J760" s="1" t="s">
        <v>70</v>
      </c>
      <c r="K760" s="1" t="s">
        <v>54</v>
      </c>
      <c r="L760" s="1">
        <v>1</v>
      </c>
      <c r="M760" s="1" t="s">
        <v>55</v>
      </c>
      <c r="N760" s="1" t="s">
        <v>57</v>
      </c>
      <c r="R760" t="str">
        <f t="shared" si="48"/>
        <v>TIME 13:47 Tue</v>
      </c>
    </row>
    <row r="761" spans="1:18" hidden="1" x14ac:dyDescent="0.25">
      <c r="A761" s="3">
        <f t="shared" si="49"/>
        <v>44761.578238657406</v>
      </c>
      <c r="B761" s="8" t="str">
        <f t="shared" si="50"/>
        <v>←</v>
      </c>
      <c r="C761" s="11">
        <f t="shared" si="51"/>
        <v>7.0000000000000001E-3</v>
      </c>
      <c r="D761" s="2">
        <v>1658202759820</v>
      </c>
      <c r="E761" t="s">
        <v>0</v>
      </c>
      <c r="F761" s="1">
        <v>5</v>
      </c>
      <c r="G761" s="1">
        <v>31</v>
      </c>
      <c r="H761" s="1">
        <v>21</v>
      </c>
      <c r="I761" s="1" t="s">
        <v>6</v>
      </c>
      <c r="J761" s="1">
        <v>3</v>
      </c>
      <c r="K761" s="1" t="s">
        <v>7</v>
      </c>
      <c r="R761" t="str">
        <f t="shared" si="48"/>
        <v>Ack</v>
      </c>
    </row>
    <row r="762" spans="1:18" hidden="1" x14ac:dyDescent="0.25">
      <c r="A762" s="3">
        <f t="shared" si="49"/>
        <v>44761.578239270828</v>
      </c>
      <c r="B762" s="8" t="str">
        <f t="shared" si="50"/>
        <v>→</v>
      </c>
      <c r="C762" s="11">
        <f t="shared" si="51"/>
        <v>5.2999999999999999E-2</v>
      </c>
      <c r="D762" s="2">
        <v>1658202759873</v>
      </c>
      <c r="E762" t="s">
        <v>0</v>
      </c>
      <c r="F762" s="1">
        <v>5</v>
      </c>
      <c r="G762" s="1">
        <v>21</v>
      </c>
      <c r="H762" s="1">
        <v>31</v>
      </c>
      <c r="I762" s="1">
        <v>9</v>
      </c>
      <c r="J762" s="1">
        <v>60</v>
      </c>
      <c r="K762" s="1" t="s">
        <v>11</v>
      </c>
      <c r="R762" t="str">
        <f t="shared" si="48"/>
        <v>PING FURNACE</v>
      </c>
    </row>
    <row r="763" spans="1:18" hidden="1" x14ac:dyDescent="0.25">
      <c r="A763" s="3">
        <f t="shared" si="49"/>
        <v>44761.57824067129</v>
      </c>
      <c r="B763" s="8" t="str">
        <f t="shared" si="50"/>
        <v>←</v>
      </c>
      <c r="C763" s="11">
        <f t="shared" si="51"/>
        <v>0.121</v>
      </c>
      <c r="D763" s="2">
        <v>1658202759994</v>
      </c>
      <c r="E763" t="s">
        <v>0</v>
      </c>
      <c r="F763" s="1">
        <v>5</v>
      </c>
      <c r="G763" s="1">
        <v>31</v>
      </c>
      <c r="H763" s="1">
        <v>21</v>
      </c>
      <c r="I763" s="1" t="s">
        <v>6</v>
      </c>
      <c r="J763" s="1">
        <v>3</v>
      </c>
      <c r="K763" s="1" t="s">
        <v>7</v>
      </c>
      <c r="R763" t="str">
        <f t="shared" si="48"/>
        <v>Ack</v>
      </c>
    </row>
    <row r="764" spans="1:18" hidden="1" x14ac:dyDescent="0.25">
      <c r="A764" s="3">
        <f t="shared" si="49"/>
        <v>44761.578242604162</v>
      </c>
      <c r="B764" s="8" t="str">
        <f t="shared" si="50"/>
        <v>→</v>
      </c>
      <c r="C764" s="11">
        <f t="shared" si="51"/>
        <v>0.16700000000000001</v>
      </c>
      <c r="D764" s="2">
        <v>1658202760161</v>
      </c>
      <c r="E764" t="s">
        <v>0</v>
      </c>
      <c r="F764" s="1" t="s">
        <v>3</v>
      </c>
      <c r="G764" s="1">
        <v>21</v>
      </c>
      <c r="H764" s="1">
        <v>31</v>
      </c>
      <c r="I764" s="1" t="s">
        <v>3</v>
      </c>
      <c r="J764" s="1">
        <v>0</v>
      </c>
      <c r="K764" s="1">
        <v>12</v>
      </c>
      <c r="L764" s="1">
        <v>25</v>
      </c>
      <c r="M764" s="1">
        <v>1</v>
      </c>
      <c r="N764" s="1">
        <v>78</v>
      </c>
      <c r="O764" s="1">
        <v>0</v>
      </c>
      <c r="P764" s="1" t="s">
        <v>102</v>
      </c>
      <c r="Q764" s="1">
        <v>84</v>
      </c>
      <c r="R764" t="str">
        <f t="shared" si="48"/>
        <v>TEMPERATURE INFO Set:18 Actual:18.5 Countdown:120</v>
      </c>
    </row>
    <row r="765" spans="1:18" hidden="1" x14ac:dyDescent="0.25">
      <c r="A765" s="3">
        <f t="shared" si="49"/>
        <v>44761.578243819444</v>
      </c>
      <c r="B765" s="8" t="str">
        <f t="shared" si="50"/>
        <v>←</v>
      </c>
      <c r="C765" s="11">
        <f t="shared" si="51"/>
        <v>0.105</v>
      </c>
      <c r="D765" s="2">
        <v>1658202760266</v>
      </c>
      <c r="E765" t="s">
        <v>0</v>
      </c>
      <c r="F765" s="1">
        <v>5</v>
      </c>
      <c r="G765" s="1">
        <v>31</v>
      </c>
      <c r="H765" s="1">
        <v>21</v>
      </c>
      <c r="I765" s="1" t="s">
        <v>6</v>
      </c>
      <c r="J765" s="1">
        <v>3</v>
      </c>
      <c r="K765" s="1" t="s">
        <v>7</v>
      </c>
      <c r="R765" t="str">
        <f t="shared" si="48"/>
        <v>Ack</v>
      </c>
    </row>
    <row r="766" spans="1:18" x14ac:dyDescent="0.25">
      <c r="A766" s="3">
        <f t="shared" si="49"/>
        <v>44761.578245034725</v>
      </c>
      <c r="B766" s="8" t="str">
        <f t="shared" si="50"/>
        <v>→</v>
      </c>
      <c r="C766" s="11">
        <f t="shared" si="51"/>
        <v>0.105</v>
      </c>
      <c r="D766" s="2">
        <v>1658202760371</v>
      </c>
      <c r="E766" t="s">
        <v>0</v>
      </c>
      <c r="F766" s="1">
        <v>6</v>
      </c>
      <c r="G766" s="1">
        <v>21</v>
      </c>
      <c r="H766" s="1">
        <v>31</v>
      </c>
      <c r="I766" s="1">
        <v>29</v>
      </c>
      <c r="J766" s="1">
        <v>0</v>
      </c>
      <c r="K766" s="1" t="s">
        <v>13</v>
      </c>
      <c r="L766" s="1" t="s">
        <v>14</v>
      </c>
      <c r="R766" t="str">
        <f t="shared" si="48"/>
        <v>LONG PING FURNACE</v>
      </c>
    </row>
    <row r="767" spans="1:18" hidden="1" x14ac:dyDescent="0.25">
      <c r="A767" s="3">
        <f t="shared" si="49"/>
        <v>44761.578246354162</v>
      </c>
      <c r="B767" s="8" t="str">
        <f t="shared" si="50"/>
        <v>←</v>
      </c>
      <c r="C767" s="11">
        <f t="shared" si="51"/>
        <v>0.114</v>
      </c>
      <c r="D767" s="2">
        <v>1658202760485</v>
      </c>
      <c r="E767" t="s">
        <v>0</v>
      </c>
      <c r="F767" s="1">
        <v>5</v>
      </c>
      <c r="G767" s="1">
        <v>31</v>
      </c>
      <c r="H767" s="1">
        <v>21</v>
      </c>
      <c r="I767" s="1" t="s">
        <v>6</v>
      </c>
      <c r="J767" s="1">
        <v>3</v>
      </c>
      <c r="K767" s="1" t="s">
        <v>7</v>
      </c>
      <c r="R767" t="str">
        <f t="shared" si="48"/>
        <v>Ack</v>
      </c>
    </row>
    <row r="768" spans="1:18" hidden="1" x14ac:dyDescent="0.25">
      <c r="A768" s="3">
        <f t="shared" si="49"/>
        <v>44761.578247268517</v>
      </c>
      <c r="B768" s="8" t="str">
        <f t="shared" si="50"/>
        <v>→</v>
      </c>
      <c r="C768" s="11">
        <f t="shared" si="51"/>
        <v>7.9000000000000001E-2</v>
      </c>
      <c r="D768" s="2">
        <v>1658202760564</v>
      </c>
      <c r="E768" t="s">
        <v>0</v>
      </c>
      <c r="F768" s="1">
        <v>5</v>
      </c>
      <c r="G768" s="1">
        <v>21</v>
      </c>
      <c r="H768" s="1">
        <v>31</v>
      </c>
      <c r="I768" s="1">
        <v>6</v>
      </c>
      <c r="J768" s="1">
        <v>60</v>
      </c>
      <c r="K768" s="1">
        <v>83</v>
      </c>
      <c r="R768" t="str">
        <f t="shared" si="48"/>
        <v>FURNACE STATUS REQUEST</v>
      </c>
    </row>
    <row r="769" spans="1:18" hidden="1" x14ac:dyDescent="0.25">
      <c r="A769" s="3">
        <f t="shared" si="49"/>
        <v>44761.57824923611</v>
      </c>
      <c r="B769" s="8" t="str">
        <f t="shared" si="50"/>
        <v>←</v>
      </c>
      <c r="C769" s="11">
        <f t="shared" si="51"/>
        <v>0.17</v>
      </c>
      <c r="D769" s="2">
        <v>1658202760734</v>
      </c>
      <c r="E769" t="s">
        <v>0</v>
      </c>
      <c r="F769" s="1">
        <v>9</v>
      </c>
      <c r="G769" s="1">
        <v>31</v>
      </c>
      <c r="H769" s="1">
        <v>21</v>
      </c>
      <c r="I769" s="1" t="s">
        <v>1</v>
      </c>
      <c r="J769" s="1">
        <v>0</v>
      </c>
      <c r="K769" s="1">
        <v>1</v>
      </c>
      <c r="L769" s="1">
        <v>0</v>
      </c>
      <c r="M769" s="1">
        <v>0</v>
      </c>
      <c r="N769" s="1">
        <v>73</v>
      </c>
      <c r="O769" s="1" t="s">
        <v>15</v>
      </c>
      <c r="R769" t="str">
        <f t="shared" si="48"/>
        <v>FURNACE STATUS RESPONSE Fan:1 Ignition:0 Burner:0 Unknown:0</v>
      </c>
    </row>
    <row r="770" spans="1:18" hidden="1" x14ac:dyDescent="0.25">
      <c r="A770" s="3">
        <f t="shared" si="49"/>
        <v>44761.578397847225</v>
      </c>
      <c r="B770" s="8" t="str">
        <f t="shared" si="50"/>
        <v>←</v>
      </c>
      <c r="C770" s="11">
        <f t="shared" si="51"/>
        <v>12.84</v>
      </c>
      <c r="D770" s="2">
        <v>1658202773574</v>
      </c>
      <c r="E770" t="s">
        <v>0</v>
      </c>
      <c r="F770" s="1">
        <v>9</v>
      </c>
      <c r="G770" s="1">
        <v>31</v>
      </c>
      <c r="H770" s="1">
        <v>21</v>
      </c>
      <c r="I770" s="1">
        <v>5</v>
      </c>
      <c r="J770" s="1">
        <v>0</v>
      </c>
      <c r="K770" s="1">
        <v>0</v>
      </c>
      <c r="L770" s="1">
        <v>0</v>
      </c>
      <c r="M770" s="1">
        <v>0</v>
      </c>
      <c r="N770" s="1" t="s">
        <v>19</v>
      </c>
      <c r="O770" s="1" t="s">
        <v>20</v>
      </c>
      <c r="R770" t="str">
        <f t="shared" si="48"/>
        <v>FURNACE STATUS REPORT Fan:0 Ignition:0 Burner:0 Unknown:0</v>
      </c>
    </row>
    <row r="771" spans="1:18" hidden="1" x14ac:dyDescent="0.25">
      <c r="A771" s="3">
        <f t="shared" si="49"/>
        <v>44761.578398784717</v>
      </c>
      <c r="B771" s="8" t="str">
        <f t="shared" si="50"/>
        <v>→</v>
      </c>
      <c r="C771" s="11">
        <f t="shared" si="51"/>
        <v>8.1000000000000003E-2</v>
      </c>
      <c r="D771" s="2">
        <v>1658202773655</v>
      </c>
      <c r="E771" t="s">
        <v>0</v>
      </c>
      <c r="F771" s="1">
        <v>5</v>
      </c>
      <c r="G771" s="1">
        <v>21</v>
      </c>
      <c r="H771" s="1">
        <v>31</v>
      </c>
      <c r="I771" s="1" t="s">
        <v>6</v>
      </c>
      <c r="J771" s="1">
        <v>62</v>
      </c>
      <c r="K771" s="1">
        <v>95</v>
      </c>
      <c r="R771" t="str">
        <f t="shared" ref="R771:R834" si="52">IF(E771="Ok",_xlfn.SWITCH(I771,5,"FURNACE STATUS REPORT Fan:"&amp;IF(_xlfn.BITAND(HEX2DEC(K771),1),"1","0")&amp;" Ignition:"&amp;IF(_xlfn.BITAND(HEX2DEC(K771),2),"1","0")&amp;" Burner:"&amp;IF(_xlfn.BITAND(HEX2DEC(K771),4),"1","0")&amp;" Unknown:"&amp;DEC2HEX(_xlfn.BITAND(HEX2DEC(K771),248)),6,"FURNACE STATUS REQUEST",7,"TIME "&amp;HEX2DEC(J771)&amp;":"&amp;HEX2DEC(K771)&amp;" "&amp;CHOOSE(L771+1,"Mon","Tue","Wed","Thu","Fri","Sat","Sun"),9,"PING FURNACE","0B","TEMPERATURE INFO Set:"&amp;HEX2DEC(K771)&amp;" Actual:"&amp;HEX2DEC(L771)/2&amp;" Countdown:"&amp;HEX2DEC(N771),29,"LONG PING FURNACE","FB","FURNACE STATUS RESPONSE Fan:"&amp;IF(_xlfn.BITAND(HEX2DEC(K771),1),"1","0")&amp;" Ignition:"&amp;IF(_xlfn.BITAND(HEX2DEC(K771),2),"1","0")&amp;" Burner:"&amp;IF(_xlfn.BITAND(HEX2DEC(K771),4),"1","0")&amp;" Unknown:"&amp;DEC2HEX(_xlfn.BITAND(HEX2DEC(K771),248)),"FF","Ack"),"")</f>
        <v>Ack</v>
      </c>
    </row>
    <row r="772" spans="1:18" hidden="1" x14ac:dyDescent="0.25">
      <c r="A772" s="3">
        <f t="shared" si="49"/>
        <v>44761.578931319447</v>
      </c>
      <c r="B772" s="8" t="str">
        <f t="shared" si="50"/>
        <v>→</v>
      </c>
      <c r="C772" s="11">
        <f t="shared" si="51"/>
        <v>46.011000000000003</v>
      </c>
      <c r="D772" s="2">
        <v>1658202819666</v>
      </c>
      <c r="E772" t="s">
        <v>0</v>
      </c>
      <c r="F772" s="1">
        <v>8</v>
      </c>
      <c r="G772" s="1">
        <v>21</v>
      </c>
      <c r="H772" s="1">
        <v>31</v>
      </c>
      <c r="I772" s="1">
        <v>7</v>
      </c>
      <c r="J772" s="1" t="s">
        <v>70</v>
      </c>
      <c r="K772" s="1">
        <v>30</v>
      </c>
      <c r="L772" s="1">
        <v>1</v>
      </c>
      <c r="M772" s="1">
        <v>34</v>
      </c>
      <c r="N772" s="1" t="s">
        <v>109</v>
      </c>
      <c r="R772" t="str">
        <f t="shared" si="52"/>
        <v>TIME 13:48 Tue</v>
      </c>
    </row>
    <row r="773" spans="1:18" hidden="1" x14ac:dyDescent="0.25">
      <c r="A773" s="3">
        <f t="shared" si="49"/>
        <v>44761.578933379627</v>
      </c>
      <c r="B773" s="8" t="str">
        <f t="shared" si="50"/>
        <v>←</v>
      </c>
      <c r="C773" s="11">
        <f t="shared" si="51"/>
        <v>0.17799999999999999</v>
      </c>
      <c r="D773" s="2">
        <v>1658202819844</v>
      </c>
      <c r="E773" t="s">
        <v>0</v>
      </c>
      <c r="F773" s="1">
        <v>5</v>
      </c>
      <c r="G773" s="1">
        <v>31</v>
      </c>
      <c r="H773" s="1">
        <v>21</v>
      </c>
      <c r="I773" s="1" t="s">
        <v>6</v>
      </c>
      <c r="J773" s="1">
        <v>3</v>
      </c>
      <c r="K773" s="1" t="s">
        <v>7</v>
      </c>
      <c r="R773" t="str">
        <f t="shared" si="52"/>
        <v>Ack</v>
      </c>
    </row>
    <row r="774" spans="1:18" hidden="1" x14ac:dyDescent="0.25">
      <c r="A774" s="3">
        <f t="shared" si="49"/>
        <v>44761.578937013888</v>
      </c>
      <c r="B774" s="8" t="str">
        <f t="shared" si="50"/>
        <v>→</v>
      </c>
      <c r="C774" s="11">
        <f t="shared" si="51"/>
        <v>0.314</v>
      </c>
      <c r="D774" s="2">
        <v>1658202820158</v>
      </c>
      <c r="E774" t="s">
        <v>0</v>
      </c>
      <c r="F774" s="1">
        <v>5</v>
      </c>
      <c r="G774" s="1">
        <v>21</v>
      </c>
      <c r="H774" s="1">
        <v>31</v>
      </c>
      <c r="I774" s="1">
        <v>9</v>
      </c>
      <c r="J774" s="1">
        <v>60</v>
      </c>
      <c r="K774" s="1" t="s">
        <v>11</v>
      </c>
      <c r="R774" t="str">
        <f t="shared" si="52"/>
        <v>PING FURNACE</v>
      </c>
    </row>
    <row r="775" spans="1:18" hidden="1" x14ac:dyDescent="0.25">
      <c r="A775" s="3">
        <f t="shared" si="49"/>
        <v>44761.578937592589</v>
      </c>
      <c r="B775" s="8" t="str">
        <f t="shared" si="50"/>
        <v>←</v>
      </c>
      <c r="C775" s="11">
        <f t="shared" si="51"/>
        <v>0.05</v>
      </c>
      <c r="D775" s="2">
        <v>1658202820208</v>
      </c>
      <c r="E775" t="s">
        <v>0</v>
      </c>
      <c r="F775" s="1">
        <v>5</v>
      </c>
      <c r="G775" s="1">
        <v>31</v>
      </c>
      <c r="H775" s="1">
        <v>21</v>
      </c>
      <c r="I775" s="1" t="s">
        <v>6</v>
      </c>
      <c r="J775" s="1">
        <v>3</v>
      </c>
      <c r="K775" s="1" t="s">
        <v>7</v>
      </c>
      <c r="R775" t="str">
        <f t="shared" si="52"/>
        <v>Ack</v>
      </c>
    </row>
    <row r="776" spans="1:18" hidden="1" x14ac:dyDescent="0.25">
      <c r="A776" s="3">
        <f t="shared" si="49"/>
        <v>44761.578937719903</v>
      </c>
      <c r="B776" s="8" t="str">
        <f t="shared" si="50"/>
        <v>→</v>
      </c>
      <c r="C776" s="11">
        <f t="shared" si="51"/>
        <v>1.0999999999999999E-2</v>
      </c>
      <c r="D776" s="2">
        <v>1658202820219</v>
      </c>
      <c r="E776" t="s">
        <v>0</v>
      </c>
      <c r="F776" s="1" t="s">
        <v>3</v>
      </c>
      <c r="G776" s="1">
        <v>21</v>
      </c>
      <c r="H776" s="1">
        <v>31</v>
      </c>
      <c r="I776" s="1" t="s">
        <v>3</v>
      </c>
      <c r="J776" s="1">
        <v>0</v>
      </c>
      <c r="K776" s="1">
        <v>12</v>
      </c>
      <c r="L776" s="1">
        <v>25</v>
      </c>
      <c r="M776" s="1">
        <v>1</v>
      </c>
      <c r="N776" s="1" t="s">
        <v>69</v>
      </c>
      <c r="O776" s="1">
        <v>0</v>
      </c>
      <c r="P776" s="1" t="s">
        <v>71</v>
      </c>
      <c r="Q776" s="1">
        <v>81</v>
      </c>
      <c r="R776" t="str">
        <f t="shared" si="52"/>
        <v>TEMPERATURE INFO Set:18 Actual:18.5 Countdown:60</v>
      </c>
    </row>
    <row r="777" spans="1:18" hidden="1" x14ac:dyDescent="0.25">
      <c r="A777" s="3">
        <f t="shared" si="49"/>
        <v>44761.578938495368</v>
      </c>
      <c r="B777" s="8" t="str">
        <f t="shared" si="50"/>
        <v>←</v>
      </c>
      <c r="C777" s="11">
        <f t="shared" si="51"/>
        <v>6.7000000000000004E-2</v>
      </c>
      <c r="D777" s="2">
        <v>1658202820286</v>
      </c>
      <c r="E777" t="s">
        <v>0</v>
      </c>
      <c r="F777" s="1">
        <v>5</v>
      </c>
      <c r="G777" s="1">
        <v>31</v>
      </c>
      <c r="H777" s="1">
        <v>21</v>
      </c>
      <c r="I777" s="1" t="s">
        <v>6</v>
      </c>
      <c r="J777" s="1">
        <v>3</v>
      </c>
      <c r="K777" s="1" t="s">
        <v>7</v>
      </c>
      <c r="R777" t="str">
        <f t="shared" si="52"/>
        <v>Ack</v>
      </c>
    </row>
    <row r="778" spans="1:18" x14ac:dyDescent="0.25">
      <c r="A778" s="3">
        <f t="shared" si="49"/>
        <v>44761.578939664345</v>
      </c>
      <c r="B778" s="8" t="str">
        <f t="shared" si="50"/>
        <v>→</v>
      </c>
      <c r="C778" s="11">
        <f t="shared" si="51"/>
        <v>0.10100000000000001</v>
      </c>
      <c r="D778" s="2">
        <v>1658202820387</v>
      </c>
      <c r="E778" t="s">
        <v>0</v>
      </c>
      <c r="F778" s="1">
        <v>6</v>
      </c>
      <c r="G778" s="1">
        <v>21</v>
      </c>
      <c r="H778" s="1">
        <v>31</v>
      </c>
      <c r="I778" s="1">
        <v>29</v>
      </c>
      <c r="J778" s="1">
        <v>0</v>
      </c>
      <c r="K778" s="1" t="s">
        <v>13</v>
      </c>
      <c r="L778" s="1" t="s">
        <v>14</v>
      </c>
      <c r="R778" t="str">
        <f t="shared" si="52"/>
        <v>LONG PING FURNACE</v>
      </c>
    </row>
    <row r="779" spans="1:18" hidden="1" x14ac:dyDescent="0.25">
      <c r="A779" s="3">
        <f t="shared" si="49"/>
        <v>44761.578940937499</v>
      </c>
      <c r="B779" s="8" t="str">
        <f t="shared" si="50"/>
        <v>←</v>
      </c>
      <c r="C779" s="11">
        <f t="shared" si="51"/>
        <v>0.11</v>
      </c>
      <c r="D779" s="2">
        <v>1658202820497</v>
      </c>
      <c r="E779" t="s">
        <v>0</v>
      </c>
      <c r="F779" s="1">
        <v>5</v>
      </c>
      <c r="G779" s="1">
        <v>31</v>
      </c>
      <c r="H779" s="1">
        <v>21</v>
      </c>
      <c r="I779" s="1" t="s">
        <v>6</v>
      </c>
      <c r="J779" s="1">
        <v>3</v>
      </c>
      <c r="K779" s="1" t="s">
        <v>7</v>
      </c>
      <c r="R779" t="str">
        <f t="shared" si="52"/>
        <v>Ack</v>
      </c>
    </row>
    <row r="780" spans="1:18" hidden="1" x14ac:dyDescent="0.25">
      <c r="A780" s="3">
        <f t="shared" si="49"/>
        <v>44761.578942129629</v>
      </c>
      <c r="B780" s="8" t="str">
        <f t="shared" si="50"/>
        <v>→</v>
      </c>
      <c r="C780" s="11">
        <f t="shared" si="51"/>
        <v>0.10299999999999999</v>
      </c>
      <c r="D780" s="2">
        <v>1658202820600</v>
      </c>
      <c r="E780" t="s">
        <v>0</v>
      </c>
      <c r="F780" s="1">
        <v>5</v>
      </c>
      <c r="G780" s="1">
        <v>21</v>
      </c>
      <c r="H780" s="1">
        <v>31</v>
      </c>
      <c r="I780" s="1">
        <v>6</v>
      </c>
      <c r="J780" s="1">
        <v>60</v>
      </c>
      <c r="K780" s="1">
        <v>83</v>
      </c>
      <c r="R780" t="str">
        <f t="shared" si="52"/>
        <v>FURNACE STATUS REQUEST</v>
      </c>
    </row>
    <row r="781" spans="1:18" hidden="1" x14ac:dyDescent="0.25">
      <c r="A781" s="3">
        <f t="shared" si="49"/>
        <v>44761.578943842593</v>
      </c>
      <c r="B781" s="8" t="str">
        <f t="shared" si="50"/>
        <v>←</v>
      </c>
      <c r="C781" s="11">
        <f t="shared" si="51"/>
        <v>0.14799999999999999</v>
      </c>
      <c r="D781" s="2">
        <v>1658202820748</v>
      </c>
      <c r="E781" t="s">
        <v>0</v>
      </c>
      <c r="F781" s="1">
        <v>9</v>
      </c>
      <c r="G781" s="1">
        <v>31</v>
      </c>
      <c r="H781" s="1">
        <v>21</v>
      </c>
      <c r="I781" s="1" t="s">
        <v>1</v>
      </c>
      <c r="J781" s="1">
        <v>0</v>
      </c>
      <c r="K781" s="1">
        <v>0</v>
      </c>
      <c r="L781" s="1">
        <v>0</v>
      </c>
      <c r="M781" s="1">
        <v>0</v>
      </c>
      <c r="N781" s="1" t="s">
        <v>21</v>
      </c>
      <c r="O781" s="1" t="s">
        <v>22</v>
      </c>
      <c r="R781" t="str">
        <f t="shared" si="52"/>
        <v>FURNACE STATUS RESPONSE Fan:0 Ignition:0 Burner:0 Unknown:0</v>
      </c>
    </row>
    <row r="782" spans="1:18" hidden="1" x14ac:dyDescent="0.25">
      <c r="A782" s="3">
        <f t="shared" si="49"/>
        <v>44761.579625925922</v>
      </c>
      <c r="B782" s="8" t="str">
        <f t="shared" si="50"/>
        <v>→</v>
      </c>
      <c r="C782" s="11">
        <f t="shared" si="51"/>
        <v>58.932000000000002</v>
      </c>
      <c r="D782" s="2">
        <v>1658202879680</v>
      </c>
      <c r="E782" t="s">
        <v>0</v>
      </c>
      <c r="F782" s="1">
        <v>8</v>
      </c>
      <c r="G782" s="1">
        <v>21</v>
      </c>
      <c r="H782" s="1">
        <v>31</v>
      </c>
      <c r="I782" s="1">
        <v>7</v>
      </c>
      <c r="J782" s="1" t="s">
        <v>70</v>
      </c>
      <c r="K782" s="1">
        <v>31</v>
      </c>
      <c r="L782" s="1">
        <v>1</v>
      </c>
      <c r="M782" s="1" t="s">
        <v>56</v>
      </c>
      <c r="N782" s="1" t="s">
        <v>57</v>
      </c>
      <c r="R782" t="str">
        <f t="shared" si="52"/>
        <v>TIME 13:49 Tue</v>
      </c>
    </row>
    <row r="783" spans="1:18" hidden="1" x14ac:dyDescent="0.25">
      <c r="A783" s="3">
        <f t="shared" si="49"/>
        <v>44761.579627025458</v>
      </c>
      <c r="B783" s="8" t="str">
        <f t="shared" si="50"/>
        <v>←</v>
      </c>
      <c r="C783" s="11">
        <f t="shared" si="51"/>
        <v>9.5000000000000001E-2</v>
      </c>
      <c r="D783" s="2">
        <v>1658202879775</v>
      </c>
      <c r="E783" t="s">
        <v>0</v>
      </c>
      <c r="F783" s="1">
        <v>5</v>
      </c>
      <c r="G783" s="1">
        <v>31</v>
      </c>
      <c r="H783" s="1">
        <v>21</v>
      </c>
      <c r="I783" s="1" t="s">
        <v>6</v>
      </c>
      <c r="J783" s="1">
        <v>3</v>
      </c>
      <c r="K783" s="1" t="s">
        <v>7</v>
      </c>
      <c r="R783" t="str">
        <f t="shared" si="52"/>
        <v>Ack</v>
      </c>
    </row>
    <row r="784" spans="1:18" hidden="1" x14ac:dyDescent="0.25">
      <c r="A784" s="3">
        <f t="shared" si="49"/>
        <v>44761.579628194442</v>
      </c>
      <c r="B784" s="8" t="str">
        <f t="shared" si="50"/>
        <v>→</v>
      </c>
      <c r="C784" s="11">
        <f t="shared" si="51"/>
        <v>0.10100000000000001</v>
      </c>
      <c r="D784" s="2">
        <v>1658202879876</v>
      </c>
      <c r="E784" t="s">
        <v>0</v>
      </c>
      <c r="F784" s="1">
        <v>5</v>
      </c>
      <c r="G784" s="1">
        <v>21</v>
      </c>
      <c r="H784" s="1">
        <v>31</v>
      </c>
      <c r="I784" s="1">
        <v>9</v>
      </c>
      <c r="J784" s="1">
        <v>60</v>
      </c>
      <c r="K784" s="1" t="s">
        <v>11</v>
      </c>
      <c r="R784" t="str">
        <f t="shared" si="52"/>
        <v>PING FURNACE</v>
      </c>
    </row>
    <row r="785" spans="1:18" hidden="1" x14ac:dyDescent="0.25">
      <c r="A785" s="3">
        <f t="shared" si="49"/>
        <v>44761.579629525462</v>
      </c>
      <c r="B785" s="8" t="str">
        <f t="shared" si="50"/>
        <v>←</v>
      </c>
      <c r="C785" s="11">
        <f t="shared" si="51"/>
        <v>0.115</v>
      </c>
      <c r="D785" s="2">
        <v>1658202879991</v>
      </c>
      <c r="E785" t="s">
        <v>0</v>
      </c>
      <c r="F785" s="1">
        <v>5</v>
      </c>
      <c r="G785" s="1">
        <v>31</v>
      </c>
      <c r="H785" s="1">
        <v>21</v>
      </c>
      <c r="I785" s="1" t="s">
        <v>6</v>
      </c>
      <c r="J785" s="1">
        <v>3</v>
      </c>
      <c r="K785" s="1" t="s">
        <v>7</v>
      </c>
      <c r="R785" t="str">
        <f t="shared" si="52"/>
        <v>Ack</v>
      </c>
    </row>
    <row r="786" spans="1:18" hidden="1" x14ac:dyDescent="0.25">
      <c r="A786" s="3">
        <f t="shared" si="49"/>
        <v>44761.579631354165</v>
      </c>
      <c r="B786" s="8" t="str">
        <f t="shared" si="50"/>
        <v>→</v>
      </c>
      <c r="C786" s="11">
        <f t="shared" si="51"/>
        <v>0.158</v>
      </c>
      <c r="D786" s="2">
        <v>1658202880149</v>
      </c>
      <c r="E786" t="s">
        <v>0</v>
      </c>
      <c r="F786" s="1" t="s">
        <v>3</v>
      </c>
      <c r="G786" s="1">
        <v>21</v>
      </c>
      <c r="H786" s="1">
        <v>31</v>
      </c>
      <c r="I786" s="1" t="s">
        <v>3</v>
      </c>
      <c r="J786" s="1">
        <v>0</v>
      </c>
      <c r="K786" s="1">
        <v>12</v>
      </c>
      <c r="L786" s="1">
        <v>25</v>
      </c>
      <c r="M786" s="1">
        <v>1</v>
      </c>
      <c r="N786" s="1">
        <v>0</v>
      </c>
      <c r="O786" s="1">
        <v>0</v>
      </c>
      <c r="P786" s="1">
        <v>32</v>
      </c>
      <c r="Q786" s="1">
        <v>81</v>
      </c>
      <c r="R786" t="str">
        <f t="shared" si="52"/>
        <v>TEMPERATURE INFO Set:18 Actual:18.5 Countdown:0</v>
      </c>
    </row>
    <row r="787" spans="1:18" hidden="1" x14ac:dyDescent="0.25">
      <c r="A787" s="3">
        <f t="shared" si="49"/>
        <v>44761.579632592591</v>
      </c>
      <c r="B787" s="8" t="str">
        <f t="shared" si="50"/>
        <v>←</v>
      </c>
      <c r="C787" s="11">
        <f t="shared" si="51"/>
        <v>0.107</v>
      </c>
      <c r="D787" s="2">
        <v>1658202880256</v>
      </c>
      <c r="E787" t="s">
        <v>0</v>
      </c>
      <c r="F787" s="1">
        <v>5</v>
      </c>
      <c r="G787" s="1">
        <v>31</v>
      </c>
      <c r="H787" s="1">
        <v>21</v>
      </c>
      <c r="I787" s="1" t="s">
        <v>6</v>
      </c>
      <c r="J787" s="1">
        <v>3</v>
      </c>
      <c r="K787" s="1" t="s">
        <v>7</v>
      </c>
      <c r="R787" t="str">
        <f t="shared" si="52"/>
        <v>Ack</v>
      </c>
    </row>
    <row r="788" spans="1:18" x14ac:dyDescent="0.25">
      <c r="A788" s="3">
        <f t="shared" si="49"/>
        <v>44761.579633726848</v>
      </c>
      <c r="B788" s="8" t="str">
        <f t="shared" si="50"/>
        <v>→</v>
      </c>
      <c r="C788" s="11">
        <f t="shared" si="51"/>
        <v>9.8000000000000004E-2</v>
      </c>
      <c r="D788" s="2">
        <v>1658202880354</v>
      </c>
      <c r="E788" t="s">
        <v>0</v>
      </c>
      <c r="F788" s="1">
        <v>6</v>
      </c>
      <c r="G788" s="1">
        <v>21</v>
      </c>
      <c r="H788" s="1">
        <v>31</v>
      </c>
      <c r="I788" s="1">
        <v>29</v>
      </c>
      <c r="J788" s="1">
        <v>0</v>
      </c>
      <c r="K788" s="1" t="s">
        <v>13</v>
      </c>
      <c r="L788" s="1" t="s">
        <v>14</v>
      </c>
      <c r="R788" t="str">
        <f t="shared" si="52"/>
        <v>LONG PING FURNACE</v>
      </c>
    </row>
    <row r="789" spans="1:18" hidden="1" x14ac:dyDescent="0.25">
      <c r="A789" s="3">
        <f t="shared" si="49"/>
        <v>44761.579635011571</v>
      </c>
      <c r="B789" s="8" t="str">
        <f t="shared" si="50"/>
        <v>←</v>
      </c>
      <c r="C789" s="11">
        <f t="shared" si="51"/>
        <v>0.111</v>
      </c>
      <c r="D789" s="2">
        <v>1658202880465</v>
      </c>
      <c r="E789" t="s">
        <v>0</v>
      </c>
      <c r="F789" s="1">
        <v>5</v>
      </c>
      <c r="G789" s="1">
        <v>31</v>
      </c>
      <c r="H789" s="1">
        <v>21</v>
      </c>
      <c r="I789" s="1" t="s">
        <v>6</v>
      </c>
      <c r="J789" s="1">
        <v>3</v>
      </c>
      <c r="K789" s="1" t="s">
        <v>7</v>
      </c>
      <c r="R789" t="str">
        <f t="shared" si="52"/>
        <v>Ack</v>
      </c>
    </row>
    <row r="790" spans="1:18" hidden="1" x14ac:dyDescent="0.25">
      <c r="A790" s="3">
        <f t="shared" si="49"/>
        <v>44761.57963591435</v>
      </c>
      <c r="B790" s="8" t="str">
        <f t="shared" si="50"/>
        <v>→</v>
      </c>
      <c r="C790" s="11">
        <f t="shared" si="51"/>
        <v>7.8E-2</v>
      </c>
      <c r="D790" s="2">
        <v>1658202880543</v>
      </c>
      <c r="E790" t="s">
        <v>0</v>
      </c>
      <c r="F790" s="1">
        <v>5</v>
      </c>
      <c r="G790" s="1">
        <v>21</v>
      </c>
      <c r="H790" s="1">
        <v>31</v>
      </c>
      <c r="I790" s="1">
        <v>6</v>
      </c>
      <c r="J790" s="1">
        <v>60</v>
      </c>
      <c r="K790" s="1">
        <v>83</v>
      </c>
      <c r="R790" t="str">
        <f t="shared" si="52"/>
        <v>FURNACE STATUS REQUEST</v>
      </c>
    </row>
    <row r="791" spans="1:18" hidden="1" x14ac:dyDescent="0.25">
      <c r="A791" s="3">
        <f t="shared" si="49"/>
        <v>44761.579637870367</v>
      </c>
      <c r="B791" s="8" t="str">
        <f t="shared" si="50"/>
        <v>←</v>
      </c>
      <c r="C791" s="11">
        <f t="shared" si="51"/>
        <v>0.16900000000000001</v>
      </c>
      <c r="D791" s="2">
        <v>1658202880712</v>
      </c>
      <c r="E791" t="s">
        <v>0</v>
      </c>
      <c r="F791" s="1">
        <v>9</v>
      </c>
      <c r="G791" s="1">
        <v>31</v>
      </c>
      <c r="H791" s="1">
        <v>21</v>
      </c>
      <c r="I791" s="1" t="s">
        <v>1</v>
      </c>
      <c r="J791" s="1">
        <v>0</v>
      </c>
      <c r="K791" s="1">
        <v>0</v>
      </c>
      <c r="L791" s="1">
        <v>0</v>
      </c>
      <c r="M791" s="1">
        <v>0</v>
      </c>
      <c r="N791" s="1" t="s">
        <v>21</v>
      </c>
      <c r="O791" s="1" t="s">
        <v>22</v>
      </c>
      <c r="R791" t="str">
        <f t="shared" si="52"/>
        <v>FURNACE STATUS RESPONSE Fan:0 Ignition:0 Burner:0 Unknown:0</v>
      </c>
    </row>
    <row r="792" spans="1:18" hidden="1" x14ac:dyDescent="0.25">
      <c r="A792" s="3">
        <f t="shared" si="49"/>
        <v>44761.5802796875</v>
      </c>
      <c r="B792" s="8" t="str">
        <f t="shared" si="50"/>
        <v>→</v>
      </c>
      <c r="C792" s="11">
        <f t="shared" si="51"/>
        <v>55.453000000000003</v>
      </c>
      <c r="D792" s="2">
        <v>1658202936165</v>
      </c>
      <c r="E792" t="s">
        <v>0</v>
      </c>
      <c r="F792" s="1" t="s">
        <v>3</v>
      </c>
      <c r="G792" s="1">
        <v>21</v>
      </c>
      <c r="H792" s="1">
        <v>31</v>
      </c>
      <c r="I792" s="1" t="s">
        <v>3</v>
      </c>
      <c r="J792" s="1" t="s">
        <v>6</v>
      </c>
      <c r="K792" s="1">
        <v>12</v>
      </c>
      <c r="L792" s="1">
        <v>24</v>
      </c>
      <c r="M792" s="1">
        <v>1</v>
      </c>
      <c r="N792" s="1" t="s">
        <v>4</v>
      </c>
      <c r="O792" s="1">
        <v>0</v>
      </c>
      <c r="P792" s="1">
        <v>36</v>
      </c>
      <c r="Q792" s="1">
        <v>78</v>
      </c>
      <c r="R792" t="str">
        <f t="shared" si="52"/>
        <v>TEMPERATURE INFO Set:18 Actual:18 Countdown:180</v>
      </c>
    </row>
    <row r="793" spans="1:18" hidden="1" x14ac:dyDescent="0.25">
      <c r="A793" s="3">
        <f t="shared" si="49"/>
        <v>44761.580281226845</v>
      </c>
      <c r="B793" s="8" t="str">
        <f t="shared" si="50"/>
        <v>←</v>
      </c>
      <c r="C793" s="11">
        <f t="shared" si="51"/>
        <v>0.13300000000000001</v>
      </c>
      <c r="D793" s="2">
        <v>1658202936298</v>
      </c>
      <c r="E793" t="s">
        <v>0</v>
      </c>
      <c r="F793" s="1">
        <v>5</v>
      </c>
      <c r="G793" s="1">
        <v>31</v>
      </c>
      <c r="H793" s="1">
        <v>21</v>
      </c>
      <c r="I793" s="1" t="s">
        <v>6</v>
      </c>
      <c r="J793" s="1">
        <v>3</v>
      </c>
      <c r="K793" s="1" t="s">
        <v>7</v>
      </c>
      <c r="R793" t="str">
        <f t="shared" si="52"/>
        <v>Ack</v>
      </c>
    </row>
    <row r="794" spans="1:18" hidden="1" x14ac:dyDescent="0.25">
      <c r="A794" s="3">
        <f t="shared" si="49"/>
        <v>44761.580283541662</v>
      </c>
      <c r="B794" s="8" t="str">
        <f t="shared" si="50"/>
        <v>←</v>
      </c>
      <c r="C794" s="11">
        <f t="shared" si="51"/>
        <v>0.2</v>
      </c>
      <c r="D794" s="2">
        <v>1658202936498</v>
      </c>
      <c r="E794" t="s">
        <v>0</v>
      </c>
      <c r="F794" s="1">
        <v>9</v>
      </c>
      <c r="G794" s="1">
        <v>31</v>
      </c>
      <c r="H794" s="1">
        <v>21</v>
      </c>
      <c r="I794" s="1">
        <v>5</v>
      </c>
      <c r="J794" s="1">
        <v>0</v>
      </c>
      <c r="K794" s="1">
        <v>23</v>
      </c>
      <c r="L794" s="1">
        <v>0</v>
      </c>
      <c r="M794" s="1">
        <v>0</v>
      </c>
      <c r="N794" s="1" t="s">
        <v>8</v>
      </c>
      <c r="O794" s="1">
        <v>20</v>
      </c>
      <c r="R794" t="str">
        <f t="shared" si="52"/>
        <v>FURNACE STATUS REPORT Fan:1 Ignition:1 Burner:0 Unknown:20</v>
      </c>
    </row>
    <row r="795" spans="1:18" hidden="1" x14ac:dyDescent="0.25">
      <c r="A795" s="3">
        <f t="shared" si="49"/>
        <v>44761.580284363423</v>
      </c>
      <c r="B795" s="8" t="str">
        <f t="shared" si="50"/>
        <v>→</v>
      </c>
      <c r="C795" s="11">
        <f t="shared" si="51"/>
        <v>7.0999999999999994E-2</v>
      </c>
      <c r="D795" s="2">
        <v>1658202936569</v>
      </c>
      <c r="E795" t="s">
        <v>0</v>
      </c>
      <c r="F795" s="1">
        <v>5</v>
      </c>
      <c r="G795" s="1">
        <v>21</v>
      </c>
      <c r="H795" s="1">
        <v>31</v>
      </c>
      <c r="I795" s="1" t="s">
        <v>6</v>
      </c>
      <c r="J795" s="1">
        <v>62</v>
      </c>
      <c r="K795" s="1">
        <v>95</v>
      </c>
      <c r="R795" t="str">
        <f t="shared" si="52"/>
        <v>Ack</v>
      </c>
    </row>
    <row r="796" spans="1:18" hidden="1" x14ac:dyDescent="0.25">
      <c r="A796" s="3">
        <f t="shared" si="49"/>
        <v>44761.580320196757</v>
      </c>
      <c r="B796" s="8" t="str">
        <f t="shared" si="50"/>
        <v>→</v>
      </c>
      <c r="C796" s="11">
        <f t="shared" si="51"/>
        <v>3.0960000000000001</v>
      </c>
      <c r="D796" s="2">
        <v>1658202939665</v>
      </c>
      <c r="E796" t="s">
        <v>0</v>
      </c>
      <c r="F796" s="1">
        <v>8</v>
      </c>
      <c r="G796" s="1">
        <v>21</v>
      </c>
      <c r="H796" s="1">
        <v>31</v>
      </c>
      <c r="I796" s="1">
        <v>7</v>
      </c>
      <c r="J796" s="1" t="s">
        <v>70</v>
      </c>
      <c r="K796" s="1">
        <v>32</v>
      </c>
      <c r="L796" s="1">
        <v>1</v>
      </c>
      <c r="M796" s="1" t="s">
        <v>57</v>
      </c>
      <c r="N796" s="1" t="s">
        <v>57</v>
      </c>
      <c r="R796" t="str">
        <f t="shared" si="52"/>
        <v>TIME 13:50 Tue</v>
      </c>
    </row>
    <row r="797" spans="1:18" hidden="1" x14ac:dyDescent="0.25">
      <c r="A797" s="3">
        <f t="shared" si="49"/>
        <v>44761.580321666661</v>
      </c>
      <c r="B797" s="8" t="str">
        <f t="shared" si="50"/>
        <v>←</v>
      </c>
      <c r="C797" s="11">
        <f t="shared" si="51"/>
        <v>0.127</v>
      </c>
      <c r="D797" s="2">
        <v>1658202939792</v>
      </c>
      <c r="E797" t="s">
        <v>0</v>
      </c>
      <c r="F797" s="1">
        <v>5</v>
      </c>
      <c r="G797" s="1">
        <v>31</v>
      </c>
      <c r="H797" s="1">
        <v>21</v>
      </c>
      <c r="I797" s="1" t="s">
        <v>6</v>
      </c>
      <c r="J797" s="1">
        <v>3</v>
      </c>
      <c r="K797" s="1" t="s">
        <v>7</v>
      </c>
      <c r="R797" t="str">
        <f t="shared" si="52"/>
        <v>Ack</v>
      </c>
    </row>
    <row r="798" spans="1:18" hidden="1" x14ac:dyDescent="0.25">
      <c r="A798" s="3">
        <f t="shared" si="49"/>
        <v>44761.580322881942</v>
      </c>
      <c r="B798" s="8" t="str">
        <f t="shared" si="50"/>
        <v>→</v>
      </c>
      <c r="C798" s="11">
        <f t="shared" si="51"/>
        <v>0.105</v>
      </c>
      <c r="D798" s="2">
        <v>1658202939897</v>
      </c>
      <c r="E798" t="s">
        <v>0</v>
      </c>
      <c r="F798" s="1">
        <v>5</v>
      </c>
      <c r="G798" s="1">
        <v>21</v>
      </c>
      <c r="H798" s="1">
        <v>31</v>
      </c>
      <c r="I798" s="1">
        <v>9</v>
      </c>
      <c r="J798" s="1">
        <v>60</v>
      </c>
      <c r="K798" s="1" t="s">
        <v>11</v>
      </c>
      <c r="R798" t="str">
        <f t="shared" si="52"/>
        <v>PING FURNACE</v>
      </c>
    </row>
    <row r="799" spans="1:18" hidden="1" x14ac:dyDescent="0.25">
      <c r="A799" s="3">
        <f t="shared" si="49"/>
        <v>44761.58032429398</v>
      </c>
      <c r="B799" s="8" t="str">
        <f t="shared" si="50"/>
        <v>←</v>
      </c>
      <c r="C799" s="11">
        <f t="shared" si="51"/>
        <v>0.122</v>
      </c>
      <c r="D799" s="2">
        <v>1658202940019</v>
      </c>
      <c r="E799" t="s">
        <v>0</v>
      </c>
      <c r="F799" s="1">
        <v>5</v>
      </c>
      <c r="G799" s="1">
        <v>31</v>
      </c>
      <c r="H799" s="1">
        <v>21</v>
      </c>
      <c r="I799" s="1" t="s">
        <v>6</v>
      </c>
      <c r="J799" s="1">
        <v>3</v>
      </c>
      <c r="K799" s="1" t="s">
        <v>7</v>
      </c>
      <c r="R799" t="str">
        <f t="shared" si="52"/>
        <v>Ack</v>
      </c>
    </row>
    <row r="800" spans="1:18" hidden="1" x14ac:dyDescent="0.25">
      <c r="A800" s="3">
        <f t="shared" si="49"/>
        <v>44761.580326481482</v>
      </c>
      <c r="B800" s="8" t="str">
        <f t="shared" si="50"/>
        <v>→</v>
      </c>
      <c r="C800" s="11">
        <f t="shared" si="51"/>
        <v>0.189</v>
      </c>
      <c r="D800" s="2">
        <v>1658202940208</v>
      </c>
      <c r="E800" t="s">
        <v>0</v>
      </c>
      <c r="F800" s="1" t="s">
        <v>3</v>
      </c>
      <c r="G800" s="1">
        <v>21</v>
      </c>
      <c r="H800" s="1">
        <v>31</v>
      </c>
      <c r="I800" s="1" t="s">
        <v>3</v>
      </c>
      <c r="J800" s="1" t="s">
        <v>6</v>
      </c>
      <c r="K800" s="1">
        <v>12</v>
      </c>
      <c r="L800" s="1">
        <v>24</v>
      </c>
      <c r="M800" s="1">
        <v>1</v>
      </c>
      <c r="N800" s="1" t="s">
        <v>4</v>
      </c>
      <c r="O800" s="1">
        <v>0</v>
      </c>
      <c r="P800" s="1">
        <v>36</v>
      </c>
      <c r="Q800" s="1">
        <v>78</v>
      </c>
      <c r="R800" t="str">
        <f t="shared" si="52"/>
        <v>TEMPERATURE INFO Set:18 Actual:18 Countdown:180</v>
      </c>
    </row>
    <row r="801" spans="1:18" hidden="1" x14ac:dyDescent="0.25">
      <c r="A801" s="3">
        <f t="shared" si="49"/>
        <v>44761.580327650459</v>
      </c>
      <c r="B801" s="8" t="str">
        <f t="shared" si="50"/>
        <v>←</v>
      </c>
      <c r="C801" s="11">
        <f t="shared" si="51"/>
        <v>0.10100000000000001</v>
      </c>
      <c r="D801" s="2">
        <v>1658202940309</v>
      </c>
      <c r="E801" t="s">
        <v>0</v>
      </c>
      <c r="F801" s="1">
        <v>5</v>
      </c>
      <c r="G801" s="1">
        <v>31</v>
      </c>
      <c r="H801" s="1">
        <v>21</v>
      </c>
      <c r="I801" s="1" t="s">
        <v>6</v>
      </c>
      <c r="J801" s="1">
        <v>3</v>
      </c>
      <c r="K801" s="1" t="s">
        <v>7</v>
      </c>
      <c r="R801" t="str">
        <f t="shared" si="52"/>
        <v>Ack</v>
      </c>
    </row>
    <row r="802" spans="1:18" x14ac:dyDescent="0.25">
      <c r="A802" s="3">
        <f t="shared" ref="A802:A865" si="53">D802/(1000*60*60*24)+25569+10/24</f>
        <v>44761.580328784716</v>
      </c>
      <c r="B802" s="8" t="str">
        <f t="shared" ref="B802:B865" si="54">IF(AND(G802=21,H802=31),"→",IF(AND(G802=31,H802=21),"←","Error"))</f>
        <v>→</v>
      </c>
      <c r="C802" s="11">
        <f t="shared" ref="C802:C865" si="55">(D802-D801)/1000</f>
        <v>9.8000000000000004E-2</v>
      </c>
      <c r="D802" s="2">
        <v>1658202940407</v>
      </c>
      <c r="E802" t="s">
        <v>0</v>
      </c>
      <c r="F802" s="1">
        <v>6</v>
      </c>
      <c r="G802" s="1">
        <v>21</v>
      </c>
      <c r="H802" s="1">
        <v>31</v>
      </c>
      <c r="I802" s="1">
        <v>29</v>
      </c>
      <c r="J802" s="1">
        <v>0</v>
      </c>
      <c r="K802" s="1" t="s">
        <v>13</v>
      </c>
      <c r="L802" s="1" t="s">
        <v>14</v>
      </c>
      <c r="R802" t="str">
        <f t="shared" si="52"/>
        <v>LONG PING FURNACE</v>
      </c>
    </row>
    <row r="803" spans="1:18" hidden="1" x14ac:dyDescent="0.25">
      <c r="A803" s="3">
        <f t="shared" si="53"/>
        <v>44761.580330127312</v>
      </c>
      <c r="B803" s="8" t="str">
        <f t="shared" si="54"/>
        <v>←</v>
      </c>
      <c r="C803" s="11">
        <f t="shared" si="55"/>
        <v>0.11600000000000001</v>
      </c>
      <c r="D803" s="2">
        <v>1658202940523</v>
      </c>
      <c r="E803" t="s">
        <v>0</v>
      </c>
      <c r="F803" s="1">
        <v>5</v>
      </c>
      <c r="G803" s="1">
        <v>31</v>
      </c>
      <c r="H803" s="1">
        <v>21</v>
      </c>
      <c r="I803" s="1" t="s">
        <v>6</v>
      </c>
      <c r="J803" s="1">
        <v>3</v>
      </c>
      <c r="K803" s="1" t="s">
        <v>7</v>
      </c>
      <c r="R803" t="str">
        <f t="shared" si="52"/>
        <v>Ack</v>
      </c>
    </row>
    <row r="804" spans="1:18" hidden="1" x14ac:dyDescent="0.25">
      <c r="A804" s="3">
        <f t="shared" si="53"/>
        <v>44761.58033099537</v>
      </c>
      <c r="B804" s="8" t="str">
        <f t="shared" si="54"/>
        <v>→</v>
      </c>
      <c r="C804" s="11">
        <f t="shared" si="55"/>
        <v>7.4999999999999997E-2</v>
      </c>
      <c r="D804" s="2">
        <v>1658202940598</v>
      </c>
      <c r="E804" t="s">
        <v>0</v>
      </c>
      <c r="F804" s="1">
        <v>5</v>
      </c>
      <c r="G804" s="1">
        <v>21</v>
      </c>
      <c r="H804" s="1">
        <v>31</v>
      </c>
      <c r="I804" s="1">
        <v>6</v>
      </c>
      <c r="J804" s="1">
        <v>60</v>
      </c>
      <c r="K804" s="1">
        <v>83</v>
      </c>
      <c r="R804" t="str">
        <f t="shared" si="52"/>
        <v>FURNACE STATUS REQUEST</v>
      </c>
    </row>
    <row r="805" spans="1:18" hidden="1" x14ac:dyDescent="0.25">
      <c r="A805" s="3">
        <f t="shared" si="53"/>
        <v>44761.580332881938</v>
      </c>
      <c r="B805" s="8" t="str">
        <f t="shared" si="54"/>
        <v>←</v>
      </c>
      <c r="C805" s="11">
        <f t="shared" si="55"/>
        <v>0.16300000000000001</v>
      </c>
      <c r="D805" s="2">
        <v>1658202940761</v>
      </c>
      <c r="E805" t="s">
        <v>0</v>
      </c>
      <c r="F805" s="1">
        <v>9</v>
      </c>
      <c r="G805" s="1">
        <v>31</v>
      </c>
      <c r="H805" s="1">
        <v>21</v>
      </c>
      <c r="I805" s="1" t="s">
        <v>1</v>
      </c>
      <c r="J805" s="1">
        <v>0</v>
      </c>
      <c r="K805" s="1">
        <v>23</v>
      </c>
      <c r="L805" s="1">
        <v>0</v>
      </c>
      <c r="M805" s="1">
        <v>0</v>
      </c>
      <c r="N805" s="1">
        <v>71</v>
      </c>
      <c r="O805" s="1">
        <v>73</v>
      </c>
      <c r="R805" t="str">
        <f t="shared" si="52"/>
        <v>FURNACE STATUS RESPONSE Fan:1 Ignition:1 Burner:0 Unknown:20</v>
      </c>
    </row>
    <row r="806" spans="1:18" hidden="1" x14ac:dyDescent="0.25">
      <c r="A806" s="3">
        <f t="shared" si="53"/>
        <v>44761.580453923605</v>
      </c>
      <c r="B806" s="8" t="str">
        <f t="shared" si="54"/>
        <v>←</v>
      </c>
      <c r="C806" s="11">
        <f t="shared" si="55"/>
        <v>10.458</v>
      </c>
      <c r="D806" s="2">
        <v>1658202951219</v>
      </c>
      <c r="E806" t="s">
        <v>0</v>
      </c>
      <c r="F806" s="1">
        <v>9</v>
      </c>
      <c r="G806" s="1">
        <v>31</v>
      </c>
      <c r="H806" s="1">
        <v>21</v>
      </c>
      <c r="I806" s="1">
        <v>5</v>
      </c>
      <c r="J806" s="1">
        <v>0</v>
      </c>
      <c r="K806" s="1">
        <v>33</v>
      </c>
      <c r="L806" s="1">
        <v>0</v>
      </c>
      <c r="M806" s="1">
        <v>0</v>
      </c>
      <c r="N806" s="1">
        <v>58</v>
      </c>
      <c r="O806" s="1">
        <v>63</v>
      </c>
      <c r="R806" t="str">
        <f t="shared" si="52"/>
        <v>FURNACE STATUS REPORT Fan:1 Ignition:1 Burner:0 Unknown:30</v>
      </c>
    </row>
    <row r="807" spans="1:18" hidden="1" x14ac:dyDescent="0.25">
      <c r="A807" s="3">
        <f t="shared" si="53"/>
        <v>44761.580454861112</v>
      </c>
      <c r="B807" s="8" t="str">
        <f t="shared" si="54"/>
        <v>→</v>
      </c>
      <c r="C807" s="11">
        <f t="shared" si="55"/>
        <v>8.1000000000000003E-2</v>
      </c>
      <c r="D807" s="2">
        <v>1658202951300</v>
      </c>
      <c r="E807" t="s">
        <v>0</v>
      </c>
      <c r="F807" s="1">
        <v>5</v>
      </c>
      <c r="G807" s="1">
        <v>21</v>
      </c>
      <c r="H807" s="1">
        <v>31</v>
      </c>
      <c r="I807" s="1" t="s">
        <v>6</v>
      </c>
      <c r="J807" s="1">
        <v>62</v>
      </c>
      <c r="K807" s="1">
        <v>95</v>
      </c>
      <c r="R807" t="str">
        <f t="shared" si="52"/>
        <v>Ack</v>
      </c>
    </row>
    <row r="808" spans="1:18" hidden="1" x14ac:dyDescent="0.25">
      <c r="A808" s="3">
        <f t="shared" si="53"/>
        <v>44761.580549837956</v>
      </c>
      <c r="B808" s="8" t="str">
        <f t="shared" si="54"/>
        <v>←</v>
      </c>
      <c r="C808" s="11">
        <f t="shared" si="55"/>
        <v>8.2059999999999995</v>
      </c>
      <c r="D808" s="2">
        <v>1658202959506</v>
      </c>
      <c r="E808" t="s">
        <v>0</v>
      </c>
      <c r="F808" s="1">
        <v>9</v>
      </c>
      <c r="G808" s="1">
        <v>31</v>
      </c>
      <c r="H808" s="1">
        <v>21</v>
      </c>
      <c r="I808" s="1">
        <v>5</v>
      </c>
      <c r="J808" s="1">
        <v>0</v>
      </c>
      <c r="K808" s="1">
        <v>37</v>
      </c>
      <c r="L808" s="1">
        <v>0</v>
      </c>
      <c r="M808" s="1">
        <v>0</v>
      </c>
      <c r="N808" s="1" t="s">
        <v>26</v>
      </c>
      <c r="O808" s="1">
        <v>30</v>
      </c>
      <c r="R808" t="str">
        <f t="shared" si="52"/>
        <v>FURNACE STATUS REPORT Fan:1 Ignition:1 Burner:1 Unknown:30</v>
      </c>
    </row>
    <row r="809" spans="1:18" hidden="1" x14ac:dyDescent="0.25">
      <c r="A809" s="3">
        <f t="shared" si="53"/>
        <v>44761.580550925923</v>
      </c>
      <c r="B809" s="8" t="str">
        <f t="shared" si="54"/>
        <v>→</v>
      </c>
      <c r="C809" s="11">
        <f t="shared" si="55"/>
        <v>9.4E-2</v>
      </c>
      <c r="D809" s="2">
        <v>1658202959600</v>
      </c>
      <c r="E809" t="s">
        <v>0</v>
      </c>
      <c r="F809" s="1">
        <v>5</v>
      </c>
      <c r="G809" s="1">
        <v>21</v>
      </c>
      <c r="H809" s="1">
        <v>31</v>
      </c>
      <c r="I809" s="1" t="s">
        <v>6</v>
      </c>
      <c r="J809" s="1">
        <v>62</v>
      </c>
      <c r="K809" s="1">
        <v>95</v>
      </c>
      <c r="R809" t="str">
        <f t="shared" si="52"/>
        <v>Ack</v>
      </c>
    </row>
    <row r="810" spans="1:18" hidden="1" x14ac:dyDescent="0.25">
      <c r="A810" s="3">
        <f t="shared" si="53"/>
        <v>44761.580596793974</v>
      </c>
      <c r="B810" s="8" t="str">
        <f t="shared" si="54"/>
        <v>←</v>
      </c>
      <c r="C810" s="11">
        <f t="shared" si="55"/>
        <v>3.9630000000000001</v>
      </c>
      <c r="D810" s="2">
        <v>1658202963563</v>
      </c>
      <c r="E810" t="s">
        <v>0</v>
      </c>
      <c r="F810" s="1">
        <v>9</v>
      </c>
      <c r="G810" s="1">
        <v>31</v>
      </c>
      <c r="H810" s="1">
        <v>21</v>
      </c>
      <c r="I810" s="1">
        <v>5</v>
      </c>
      <c r="J810" s="1">
        <v>0</v>
      </c>
      <c r="K810" s="1">
        <v>36</v>
      </c>
      <c r="L810" s="1">
        <v>0</v>
      </c>
      <c r="M810" s="1">
        <v>0</v>
      </c>
      <c r="N810" s="1">
        <v>58</v>
      </c>
      <c r="O810" s="1">
        <v>27</v>
      </c>
      <c r="R810" t="str">
        <f t="shared" si="52"/>
        <v>FURNACE STATUS REPORT Fan:0 Ignition:1 Burner:1 Unknown:30</v>
      </c>
    </row>
    <row r="811" spans="1:18" hidden="1" x14ac:dyDescent="0.25">
      <c r="A811" s="3">
        <f t="shared" si="53"/>
        <v>44761.580597627311</v>
      </c>
      <c r="B811" s="8" t="str">
        <f t="shared" si="54"/>
        <v>→</v>
      </c>
      <c r="C811" s="11">
        <f t="shared" si="55"/>
        <v>7.1999999999999995E-2</v>
      </c>
      <c r="D811" s="2">
        <v>1658202963635</v>
      </c>
      <c r="E811" t="s">
        <v>0</v>
      </c>
      <c r="F811" s="1">
        <v>5</v>
      </c>
      <c r="G811" s="1">
        <v>21</v>
      </c>
      <c r="H811" s="1">
        <v>31</v>
      </c>
      <c r="I811" s="1" t="s">
        <v>6</v>
      </c>
      <c r="J811" s="1">
        <v>62</v>
      </c>
      <c r="K811" s="1">
        <v>95</v>
      </c>
      <c r="R811" t="str">
        <f t="shared" si="52"/>
        <v>Ack</v>
      </c>
    </row>
    <row r="812" spans="1:18" hidden="1" x14ac:dyDescent="0.25">
      <c r="A812" s="3">
        <f t="shared" si="53"/>
        <v>44761.580629918979</v>
      </c>
      <c r="B812" s="8" t="str">
        <f t="shared" si="54"/>
        <v>←</v>
      </c>
      <c r="C812" s="11">
        <f t="shared" si="55"/>
        <v>2.79</v>
      </c>
      <c r="D812" s="2">
        <v>1658202966425</v>
      </c>
      <c r="E812" t="s">
        <v>0</v>
      </c>
      <c r="F812" s="1">
        <v>9</v>
      </c>
      <c r="G812" s="1">
        <v>31</v>
      </c>
      <c r="H812" s="1">
        <v>21</v>
      </c>
      <c r="I812" s="1">
        <v>5</v>
      </c>
      <c r="J812" s="1">
        <v>0</v>
      </c>
      <c r="K812" s="1">
        <v>26</v>
      </c>
      <c r="L812" s="1">
        <v>0</v>
      </c>
      <c r="M812" s="1">
        <v>0</v>
      </c>
      <c r="N812" s="1" t="s">
        <v>8</v>
      </c>
      <c r="O812" s="1">
        <v>64</v>
      </c>
      <c r="R812" t="str">
        <f t="shared" si="52"/>
        <v>FURNACE STATUS REPORT Fan:0 Ignition:1 Burner:1 Unknown:20</v>
      </c>
    </row>
    <row r="813" spans="1:18" hidden="1" x14ac:dyDescent="0.25">
      <c r="A813" s="3">
        <f t="shared" si="53"/>
        <v>44761.580630949073</v>
      </c>
      <c r="B813" s="8" t="str">
        <f t="shared" si="54"/>
        <v>→</v>
      </c>
      <c r="C813" s="11">
        <f t="shared" si="55"/>
        <v>8.8999999999999996E-2</v>
      </c>
      <c r="D813" s="2">
        <v>1658202966514</v>
      </c>
      <c r="E813" t="s">
        <v>0</v>
      </c>
      <c r="F813" s="1">
        <v>5</v>
      </c>
      <c r="G813" s="1">
        <v>21</v>
      </c>
      <c r="H813" s="1">
        <v>31</v>
      </c>
      <c r="I813" s="1" t="s">
        <v>6</v>
      </c>
      <c r="J813" s="1">
        <v>62</v>
      </c>
      <c r="K813" s="1">
        <v>95</v>
      </c>
      <c r="R813" t="str">
        <f t="shared" si="52"/>
        <v>Ack</v>
      </c>
    </row>
    <row r="814" spans="1:18" hidden="1" x14ac:dyDescent="0.25">
      <c r="A814" s="3">
        <f t="shared" si="53"/>
        <v>44761.580712280091</v>
      </c>
      <c r="B814" s="8" t="str">
        <f t="shared" si="54"/>
        <v>←</v>
      </c>
      <c r="C814" s="11">
        <f t="shared" si="55"/>
        <v>7.0270000000000001</v>
      </c>
      <c r="D814" s="2">
        <v>1658202973541</v>
      </c>
      <c r="E814" t="s">
        <v>0</v>
      </c>
      <c r="F814" s="1">
        <v>9</v>
      </c>
      <c r="G814" s="1">
        <v>31</v>
      </c>
      <c r="H814" s="1">
        <v>21</v>
      </c>
      <c r="I814" s="1">
        <v>5</v>
      </c>
      <c r="J814" s="1">
        <v>0</v>
      </c>
      <c r="K814" s="1">
        <v>27</v>
      </c>
      <c r="L814" s="1">
        <v>0</v>
      </c>
      <c r="M814" s="1">
        <v>0</v>
      </c>
      <c r="N814" s="1">
        <v>59</v>
      </c>
      <c r="O814" s="1">
        <v>73</v>
      </c>
      <c r="R814" t="str">
        <f t="shared" si="52"/>
        <v>FURNACE STATUS REPORT Fan:1 Ignition:1 Burner:1 Unknown:20</v>
      </c>
    </row>
    <row r="815" spans="1:18" hidden="1" x14ac:dyDescent="0.25">
      <c r="A815" s="3">
        <f t="shared" si="53"/>
        <v>44761.580713321753</v>
      </c>
      <c r="B815" s="8" t="str">
        <f t="shared" si="54"/>
        <v>→</v>
      </c>
      <c r="C815" s="11">
        <f t="shared" si="55"/>
        <v>0.09</v>
      </c>
      <c r="D815" s="2">
        <v>1658202973631</v>
      </c>
      <c r="E815" t="s">
        <v>0</v>
      </c>
      <c r="F815" s="1">
        <v>5</v>
      </c>
      <c r="G815" s="1">
        <v>21</v>
      </c>
      <c r="H815" s="1">
        <v>31</v>
      </c>
      <c r="I815" s="1" t="s">
        <v>6</v>
      </c>
      <c r="J815" s="1">
        <v>62</v>
      </c>
      <c r="K815" s="1">
        <v>95</v>
      </c>
      <c r="R815" t="str">
        <f t="shared" si="52"/>
        <v>Ack</v>
      </c>
    </row>
    <row r="816" spans="1:18" hidden="1" x14ac:dyDescent="0.25">
      <c r="A816" s="3">
        <f t="shared" si="53"/>
        <v>44761.581014745367</v>
      </c>
      <c r="B816" s="8" t="str">
        <f t="shared" si="54"/>
        <v>→</v>
      </c>
      <c r="C816" s="11">
        <f t="shared" si="55"/>
        <v>26.042999999999999</v>
      </c>
      <c r="D816" s="2">
        <v>1658202999674</v>
      </c>
      <c r="E816" t="s">
        <v>0</v>
      </c>
      <c r="F816" s="1">
        <v>8</v>
      </c>
      <c r="G816" s="1">
        <v>21</v>
      </c>
      <c r="H816" s="1">
        <v>31</v>
      </c>
      <c r="I816" s="1">
        <v>7</v>
      </c>
      <c r="J816" s="1" t="s">
        <v>70</v>
      </c>
      <c r="K816" s="1">
        <v>33</v>
      </c>
      <c r="L816" s="1">
        <v>1</v>
      </c>
      <c r="M816" s="1" t="s">
        <v>58</v>
      </c>
      <c r="N816" s="1" t="s">
        <v>109</v>
      </c>
      <c r="R816" t="str">
        <f t="shared" si="52"/>
        <v>TIME 13:51 Tue</v>
      </c>
    </row>
    <row r="817" spans="1:18" hidden="1" x14ac:dyDescent="0.25">
      <c r="A817" s="3">
        <f t="shared" si="53"/>
        <v>44761.58101621527</v>
      </c>
      <c r="B817" s="8" t="str">
        <f t="shared" si="54"/>
        <v>←</v>
      </c>
      <c r="C817" s="11">
        <f t="shared" si="55"/>
        <v>0.127</v>
      </c>
      <c r="D817" s="2">
        <v>1658202999801</v>
      </c>
      <c r="E817" t="s">
        <v>0</v>
      </c>
      <c r="F817" s="1">
        <v>5</v>
      </c>
      <c r="G817" s="1">
        <v>31</v>
      </c>
      <c r="H817" s="1">
        <v>21</v>
      </c>
      <c r="I817" s="1" t="s">
        <v>6</v>
      </c>
      <c r="J817" s="1">
        <v>3</v>
      </c>
      <c r="K817" s="1" t="s">
        <v>7</v>
      </c>
      <c r="R817" t="str">
        <f t="shared" si="52"/>
        <v>Ack</v>
      </c>
    </row>
    <row r="818" spans="1:18" hidden="1" x14ac:dyDescent="0.25">
      <c r="A818" s="3">
        <f t="shared" si="53"/>
        <v>44761.581017615739</v>
      </c>
      <c r="B818" s="8" t="str">
        <f t="shared" si="54"/>
        <v>→</v>
      </c>
      <c r="C818" s="11">
        <f t="shared" si="55"/>
        <v>0.121</v>
      </c>
      <c r="D818" s="2">
        <v>1658202999922</v>
      </c>
      <c r="E818" t="s">
        <v>0</v>
      </c>
      <c r="F818" s="1">
        <v>5</v>
      </c>
      <c r="G818" s="1">
        <v>21</v>
      </c>
      <c r="H818" s="1">
        <v>31</v>
      </c>
      <c r="I818" s="1">
        <v>9</v>
      </c>
      <c r="J818" s="1">
        <v>60</v>
      </c>
      <c r="K818" s="1" t="s">
        <v>11</v>
      </c>
      <c r="R818" t="str">
        <f t="shared" si="52"/>
        <v>PING FURNACE</v>
      </c>
    </row>
    <row r="819" spans="1:18" hidden="1" x14ac:dyDescent="0.25">
      <c r="A819" s="3">
        <f t="shared" si="53"/>
        <v>44761.581018900462</v>
      </c>
      <c r="B819" s="8" t="str">
        <f t="shared" si="54"/>
        <v>←</v>
      </c>
      <c r="C819" s="11">
        <f t="shared" si="55"/>
        <v>0.111</v>
      </c>
      <c r="D819" s="2">
        <v>1658203000033</v>
      </c>
      <c r="E819" t="s">
        <v>0</v>
      </c>
      <c r="F819" s="1">
        <v>5</v>
      </c>
      <c r="G819" s="1">
        <v>31</v>
      </c>
      <c r="H819" s="1">
        <v>21</v>
      </c>
      <c r="I819" s="1" t="s">
        <v>6</v>
      </c>
      <c r="J819" s="1">
        <v>3</v>
      </c>
      <c r="K819" s="1" t="s">
        <v>7</v>
      </c>
      <c r="R819" t="str">
        <f t="shared" si="52"/>
        <v>Ack</v>
      </c>
    </row>
    <row r="820" spans="1:18" hidden="1" x14ac:dyDescent="0.25">
      <c r="A820" s="3">
        <f t="shared" si="53"/>
        <v>44761.581020624995</v>
      </c>
      <c r="B820" s="8" t="str">
        <f t="shared" si="54"/>
        <v>→</v>
      </c>
      <c r="C820" s="11">
        <f t="shared" si="55"/>
        <v>0.14899999999999999</v>
      </c>
      <c r="D820" s="2">
        <v>1658203000182</v>
      </c>
      <c r="E820" t="s">
        <v>0</v>
      </c>
      <c r="F820" s="1" t="s">
        <v>3</v>
      </c>
      <c r="G820" s="1">
        <v>21</v>
      </c>
      <c r="H820" s="1">
        <v>31</v>
      </c>
      <c r="I820" s="1" t="s">
        <v>3</v>
      </c>
      <c r="J820" s="1" t="s">
        <v>6</v>
      </c>
      <c r="K820" s="1">
        <v>12</v>
      </c>
      <c r="L820" s="1">
        <v>24</v>
      </c>
      <c r="M820" s="1">
        <v>1</v>
      </c>
      <c r="N820" s="1">
        <v>78</v>
      </c>
      <c r="O820" s="1">
        <v>0</v>
      </c>
      <c r="P820" s="1" t="s">
        <v>34</v>
      </c>
      <c r="Q820" s="1">
        <v>77</v>
      </c>
      <c r="R820" t="str">
        <f t="shared" si="52"/>
        <v>TEMPERATURE INFO Set:18 Actual:18 Countdown:120</v>
      </c>
    </row>
    <row r="821" spans="1:18" hidden="1" x14ac:dyDescent="0.25">
      <c r="A821" s="3">
        <f t="shared" si="53"/>
        <v>44761.581022060178</v>
      </c>
      <c r="B821" s="8" t="str">
        <f t="shared" si="54"/>
        <v>←</v>
      </c>
      <c r="C821" s="11">
        <f t="shared" si="55"/>
        <v>0.124</v>
      </c>
      <c r="D821" s="2">
        <v>1658203000306</v>
      </c>
      <c r="E821" t="s">
        <v>0</v>
      </c>
      <c r="F821" s="1">
        <v>5</v>
      </c>
      <c r="G821" s="1">
        <v>31</v>
      </c>
      <c r="H821" s="1">
        <v>21</v>
      </c>
      <c r="I821" s="1" t="s">
        <v>6</v>
      </c>
      <c r="J821" s="1">
        <v>3</v>
      </c>
      <c r="K821" s="1" t="s">
        <v>7</v>
      </c>
      <c r="R821" t="str">
        <f t="shared" si="52"/>
        <v>Ack</v>
      </c>
    </row>
    <row r="822" spans="1:18" x14ac:dyDescent="0.25">
      <c r="A822" s="3">
        <f t="shared" si="53"/>
        <v>44761.581023113424</v>
      </c>
      <c r="B822" s="8" t="str">
        <f t="shared" si="54"/>
        <v>→</v>
      </c>
      <c r="C822" s="11">
        <f t="shared" si="55"/>
        <v>9.0999999999999998E-2</v>
      </c>
      <c r="D822" s="2">
        <v>1658203000397</v>
      </c>
      <c r="E822" t="s">
        <v>0</v>
      </c>
      <c r="F822" s="1">
        <v>6</v>
      </c>
      <c r="G822" s="1">
        <v>21</v>
      </c>
      <c r="H822" s="1">
        <v>31</v>
      </c>
      <c r="I822" s="1">
        <v>29</v>
      </c>
      <c r="J822" s="1">
        <v>0</v>
      </c>
      <c r="K822" s="1" t="s">
        <v>13</v>
      </c>
      <c r="L822" s="1" t="s">
        <v>14</v>
      </c>
      <c r="R822" t="str">
        <f t="shared" si="52"/>
        <v>LONG PING FURNACE</v>
      </c>
    </row>
    <row r="823" spans="1:18" hidden="1" x14ac:dyDescent="0.25">
      <c r="A823" s="3">
        <f t="shared" si="53"/>
        <v>44761.581024317122</v>
      </c>
      <c r="B823" s="8" t="str">
        <f t="shared" si="54"/>
        <v>←</v>
      </c>
      <c r="C823" s="11">
        <f t="shared" si="55"/>
        <v>0.104</v>
      </c>
      <c r="D823" s="2">
        <v>1658203000501</v>
      </c>
      <c r="E823" t="s">
        <v>0</v>
      </c>
      <c r="F823" s="1">
        <v>5</v>
      </c>
      <c r="G823" s="1">
        <v>31</v>
      </c>
      <c r="H823" s="1">
        <v>21</v>
      </c>
      <c r="I823" s="1" t="s">
        <v>6</v>
      </c>
      <c r="J823" s="1">
        <v>3</v>
      </c>
      <c r="K823" s="1" t="s">
        <v>7</v>
      </c>
      <c r="R823" t="str">
        <f t="shared" si="52"/>
        <v>Ack</v>
      </c>
    </row>
    <row r="824" spans="1:18" hidden="1" x14ac:dyDescent="0.25">
      <c r="A824" s="3">
        <f t="shared" si="53"/>
        <v>44761.581025405088</v>
      </c>
      <c r="B824" s="8" t="str">
        <f t="shared" si="54"/>
        <v>→</v>
      </c>
      <c r="C824" s="11">
        <f t="shared" si="55"/>
        <v>9.4E-2</v>
      </c>
      <c r="D824" s="2">
        <v>1658203000595</v>
      </c>
      <c r="E824" t="s">
        <v>0</v>
      </c>
      <c r="F824" s="1">
        <v>5</v>
      </c>
      <c r="G824" s="1">
        <v>21</v>
      </c>
      <c r="H824" s="1">
        <v>31</v>
      </c>
      <c r="I824" s="1">
        <v>6</v>
      </c>
      <c r="J824" s="1">
        <v>60</v>
      </c>
      <c r="K824" s="1">
        <v>83</v>
      </c>
      <c r="R824" t="str">
        <f t="shared" si="52"/>
        <v>FURNACE STATUS REQUEST</v>
      </c>
    </row>
    <row r="825" spans="1:18" hidden="1" x14ac:dyDescent="0.25">
      <c r="A825" s="3">
        <f t="shared" si="53"/>
        <v>44761.581027129629</v>
      </c>
      <c r="B825" s="8" t="str">
        <f t="shared" si="54"/>
        <v>←</v>
      </c>
      <c r="C825" s="11">
        <f t="shared" si="55"/>
        <v>0.14899999999999999</v>
      </c>
      <c r="D825" s="2">
        <v>1658203000744</v>
      </c>
      <c r="E825" t="s">
        <v>0</v>
      </c>
      <c r="F825" s="1">
        <v>9</v>
      </c>
      <c r="G825" s="1">
        <v>31</v>
      </c>
      <c r="H825" s="1">
        <v>21</v>
      </c>
      <c r="I825" s="1" t="s">
        <v>1</v>
      </c>
      <c r="J825" s="1">
        <v>0</v>
      </c>
      <c r="K825" s="1">
        <v>27</v>
      </c>
      <c r="L825" s="1">
        <v>0</v>
      </c>
      <c r="M825" s="1">
        <v>0</v>
      </c>
      <c r="N825" s="1" t="s">
        <v>2</v>
      </c>
      <c r="O825" s="1">
        <v>20</v>
      </c>
      <c r="R825" t="str">
        <f t="shared" si="52"/>
        <v>FURNACE STATUS RESPONSE Fan:1 Ignition:1 Burner:1 Unknown:20</v>
      </c>
    </row>
    <row r="826" spans="1:18" hidden="1" x14ac:dyDescent="0.25">
      <c r="A826" s="3">
        <f t="shared" si="53"/>
        <v>44761.581709351849</v>
      </c>
      <c r="B826" s="8" t="str">
        <f t="shared" si="54"/>
        <v>→</v>
      </c>
      <c r="C826" s="11">
        <f t="shared" si="55"/>
        <v>58.944000000000003</v>
      </c>
      <c r="D826" s="2">
        <v>1658203059688</v>
      </c>
      <c r="E826" t="s">
        <v>0</v>
      </c>
      <c r="F826" s="1">
        <v>8</v>
      </c>
      <c r="G826" s="1">
        <v>21</v>
      </c>
      <c r="H826" s="1">
        <v>31</v>
      </c>
      <c r="I826" s="1">
        <v>7</v>
      </c>
      <c r="J826" s="1" t="s">
        <v>70</v>
      </c>
      <c r="K826" s="1">
        <v>34</v>
      </c>
      <c r="L826" s="1">
        <v>1</v>
      </c>
      <c r="M826" s="1" t="s">
        <v>59</v>
      </c>
      <c r="N826" s="1" t="s">
        <v>57</v>
      </c>
      <c r="R826" t="str">
        <f t="shared" si="52"/>
        <v>TIME 13:52 Tue</v>
      </c>
    </row>
    <row r="827" spans="1:18" hidden="1" x14ac:dyDescent="0.25">
      <c r="A827" s="3">
        <f t="shared" si="53"/>
        <v>44761.581710868057</v>
      </c>
      <c r="B827" s="8" t="str">
        <f t="shared" si="54"/>
        <v>←</v>
      </c>
      <c r="C827" s="11">
        <f t="shared" si="55"/>
        <v>0.13100000000000001</v>
      </c>
      <c r="D827" s="2">
        <v>1658203059819</v>
      </c>
      <c r="E827" t="s">
        <v>0</v>
      </c>
      <c r="F827" s="1">
        <v>5</v>
      </c>
      <c r="G827" s="1">
        <v>31</v>
      </c>
      <c r="H827" s="1">
        <v>21</v>
      </c>
      <c r="I827" s="1" t="s">
        <v>6</v>
      </c>
      <c r="J827" s="1">
        <v>3</v>
      </c>
      <c r="K827" s="1" t="s">
        <v>7</v>
      </c>
      <c r="R827" t="str">
        <f t="shared" si="52"/>
        <v>Ack</v>
      </c>
    </row>
    <row r="828" spans="1:18" hidden="1" x14ac:dyDescent="0.25">
      <c r="A828" s="3">
        <f t="shared" si="53"/>
        <v>44761.581712372681</v>
      </c>
      <c r="B828" s="8" t="str">
        <f t="shared" si="54"/>
        <v>→</v>
      </c>
      <c r="C828" s="11">
        <f t="shared" si="55"/>
        <v>0.13</v>
      </c>
      <c r="D828" s="2">
        <v>1658203059949</v>
      </c>
      <c r="E828" t="s">
        <v>0</v>
      </c>
      <c r="F828" s="1">
        <v>5</v>
      </c>
      <c r="G828" s="1">
        <v>21</v>
      </c>
      <c r="H828" s="1">
        <v>31</v>
      </c>
      <c r="I828" s="1">
        <v>9</v>
      </c>
      <c r="J828" s="1">
        <v>60</v>
      </c>
      <c r="K828" s="1" t="s">
        <v>11</v>
      </c>
      <c r="R828" t="str">
        <f t="shared" si="52"/>
        <v>PING FURNACE</v>
      </c>
    </row>
    <row r="829" spans="1:18" hidden="1" x14ac:dyDescent="0.25">
      <c r="A829" s="3">
        <f t="shared" si="53"/>
        <v>44761.581713564818</v>
      </c>
      <c r="B829" s="8" t="str">
        <f t="shared" si="54"/>
        <v>←</v>
      </c>
      <c r="C829" s="11">
        <f t="shared" si="55"/>
        <v>0.10299999999999999</v>
      </c>
      <c r="D829" s="2">
        <v>1658203060052</v>
      </c>
      <c r="E829" t="s">
        <v>0</v>
      </c>
      <c r="F829" s="1">
        <v>5</v>
      </c>
      <c r="G829" s="1">
        <v>31</v>
      </c>
      <c r="H829" s="1">
        <v>21</v>
      </c>
      <c r="I829" s="1" t="s">
        <v>6</v>
      </c>
      <c r="J829" s="1">
        <v>3</v>
      </c>
      <c r="K829" s="1" t="s">
        <v>7</v>
      </c>
      <c r="R829" t="str">
        <f t="shared" si="52"/>
        <v>Ack</v>
      </c>
    </row>
    <row r="830" spans="1:18" hidden="1" x14ac:dyDescent="0.25">
      <c r="A830" s="3">
        <f t="shared" si="53"/>
        <v>44761.581715416665</v>
      </c>
      <c r="B830" s="8" t="str">
        <f t="shared" si="54"/>
        <v>→</v>
      </c>
      <c r="C830" s="11">
        <f t="shared" si="55"/>
        <v>0.16</v>
      </c>
      <c r="D830" s="2">
        <v>1658203060212</v>
      </c>
      <c r="E830" t="s">
        <v>0</v>
      </c>
      <c r="F830" s="1" t="s">
        <v>3</v>
      </c>
      <c r="G830" s="1">
        <v>21</v>
      </c>
      <c r="H830" s="1">
        <v>31</v>
      </c>
      <c r="I830" s="1" t="s">
        <v>3</v>
      </c>
      <c r="J830" s="1" t="s">
        <v>6</v>
      </c>
      <c r="K830" s="1">
        <v>12</v>
      </c>
      <c r="L830" s="1">
        <v>24</v>
      </c>
      <c r="M830" s="1">
        <v>1</v>
      </c>
      <c r="N830" s="1" t="s">
        <v>69</v>
      </c>
      <c r="O830" s="1">
        <v>0</v>
      </c>
      <c r="P830" s="1">
        <v>6</v>
      </c>
      <c r="Q830" s="1">
        <v>72</v>
      </c>
      <c r="R830" t="str">
        <f t="shared" si="52"/>
        <v>TEMPERATURE INFO Set:18 Actual:18 Countdown:60</v>
      </c>
    </row>
    <row r="831" spans="1:18" hidden="1" x14ac:dyDescent="0.25">
      <c r="A831" s="3">
        <f t="shared" si="53"/>
        <v>44761.581716689812</v>
      </c>
      <c r="B831" s="8" t="str">
        <f t="shared" si="54"/>
        <v>←</v>
      </c>
      <c r="C831" s="11">
        <f t="shared" si="55"/>
        <v>0.11</v>
      </c>
      <c r="D831" s="2">
        <v>1658203060322</v>
      </c>
      <c r="E831" t="s">
        <v>0</v>
      </c>
      <c r="F831" s="1">
        <v>5</v>
      </c>
      <c r="G831" s="1">
        <v>31</v>
      </c>
      <c r="H831" s="1">
        <v>21</v>
      </c>
      <c r="I831" s="1" t="s">
        <v>6</v>
      </c>
      <c r="J831" s="1">
        <v>3</v>
      </c>
      <c r="K831" s="1" t="s">
        <v>7</v>
      </c>
      <c r="R831" t="str">
        <f t="shared" si="52"/>
        <v>Ack</v>
      </c>
    </row>
    <row r="832" spans="1:18" x14ac:dyDescent="0.25">
      <c r="A832" s="3">
        <f t="shared" si="53"/>
        <v>44761.581717847221</v>
      </c>
      <c r="B832" s="8" t="str">
        <f t="shared" si="54"/>
        <v>→</v>
      </c>
      <c r="C832" s="11">
        <f t="shared" si="55"/>
        <v>0.1</v>
      </c>
      <c r="D832" s="2">
        <v>1658203060422</v>
      </c>
      <c r="E832" t="s">
        <v>0</v>
      </c>
      <c r="F832" s="1">
        <v>6</v>
      </c>
      <c r="G832" s="1">
        <v>21</v>
      </c>
      <c r="H832" s="1">
        <v>31</v>
      </c>
      <c r="I832" s="1">
        <v>29</v>
      </c>
      <c r="J832" s="1">
        <v>0</v>
      </c>
      <c r="K832" s="1" t="s">
        <v>13</v>
      </c>
      <c r="L832" s="1" t="s">
        <v>14</v>
      </c>
      <c r="R832" t="str">
        <f t="shared" si="52"/>
        <v>LONG PING FURNACE</v>
      </c>
    </row>
    <row r="833" spans="1:18" hidden="1" x14ac:dyDescent="0.25">
      <c r="A833" s="3">
        <f t="shared" si="53"/>
        <v>44761.581719293979</v>
      </c>
      <c r="B833" s="8" t="str">
        <f t="shared" si="54"/>
        <v>←</v>
      </c>
      <c r="C833" s="11">
        <f t="shared" si="55"/>
        <v>0.125</v>
      </c>
      <c r="D833" s="2">
        <v>1658203060547</v>
      </c>
      <c r="E833" t="s">
        <v>0</v>
      </c>
      <c r="F833" s="1">
        <v>5</v>
      </c>
      <c r="G833" s="1">
        <v>31</v>
      </c>
      <c r="H833" s="1">
        <v>21</v>
      </c>
      <c r="I833" s="1" t="s">
        <v>6</v>
      </c>
      <c r="J833" s="1">
        <v>3</v>
      </c>
      <c r="K833" s="1" t="s">
        <v>7</v>
      </c>
      <c r="R833" t="str">
        <f t="shared" si="52"/>
        <v>Ack</v>
      </c>
    </row>
    <row r="834" spans="1:18" hidden="1" x14ac:dyDescent="0.25">
      <c r="A834" s="3">
        <f t="shared" si="53"/>
        <v>44761.58172052083</v>
      </c>
      <c r="B834" s="8" t="str">
        <f t="shared" si="54"/>
        <v>→</v>
      </c>
      <c r="C834" s="11">
        <f t="shared" si="55"/>
        <v>0.106</v>
      </c>
      <c r="D834" s="2">
        <v>1658203060653</v>
      </c>
      <c r="E834" t="s">
        <v>0</v>
      </c>
      <c r="F834" s="1">
        <v>5</v>
      </c>
      <c r="G834" s="1">
        <v>21</v>
      </c>
      <c r="H834" s="1">
        <v>31</v>
      </c>
      <c r="I834" s="1">
        <v>6</v>
      </c>
      <c r="J834" s="1">
        <v>60</v>
      </c>
      <c r="K834" s="1">
        <v>83</v>
      </c>
      <c r="R834" t="str">
        <f t="shared" si="52"/>
        <v>FURNACE STATUS REQUEST</v>
      </c>
    </row>
    <row r="835" spans="1:18" hidden="1" x14ac:dyDescent="0.25">
      <c r="A835" s="3">
        <f t="shared" si="53"/>
        <v>44761.581722164345</v>
      </c>
      <c r="B835" s="8" t="str">
        <f t="shared" si="54"/>
        <v>←</v>
      </c>
      <c r="C835" s="11">
        <f t="shared" si="55"/>
        <v>0.14199999999999999</v>
      </c>
      <c r="D835" s="2">
        <v>1658203060795</v>
      </c>
      <c r="E835" t="s">
        <v>0</v>
      </c>
      <c r="F835" s="1">
        <v>9</v>
      </c>
      <c r="G835" s="1">
        <v>31</v>
      </c>
      <c r="H835" s="1">
        <v>21</v>
      </c>
      <c r="I835" s="1" t="s">
        <v>1</v>
      </c>
      <c r="J835" s="1">
        <v>0</v>
      </c>
      <c r="K835" s="1">
        <v>27</v>
      </c>
      <c r="L835" s="1">
        <v>0</v>
      </c>
      <c r="M835" s="1">
        <v>0</v>
      </c>
      <c r="N835" s="1" t="s">
        <v>2</v>
      </c>
      <c r="O835" s="1">
        <v>20</v>
      </c>
      <c r="R835" t="str">
        <f t="shared" ref="R835:R898" si="56">IF(E835="Ok",_xlfn.SWITCH(I835,5,"FURNACE STATUS REPORT Fan:"&amp;IF(_xlfn.BITAND(HEX2DEC(K835),1),"1","0")&amp;" Ignition:"&amp;IF(_xlfn.BITAND(HEX2DEC(K835),2),"1","0")&amp;" Burner:"&amp;IF(_xlfn.BITAND(HEX2DEC(K835),4),"1","0")&amp;" Unknown:"&amp;DEC2HEX(_xlfn.BITAND(HEX2DEC(K835),248)),6,"FURNACE STATUS REQUEST",7,"TIME "&amp;HEX2DEC(J835)&amp;":"&amp;HEX2DEC(K835)&amp;" "&amp;CHOOSE(L835+1,"Mon","Tue","Wed","Thu","Fri","Sat","Sun"),9,"PING FURNACE","0B","TEMPERATURE INFO Set:"&amp;HEX2DEC(K835)&amp;" Actual:"&amp;HEX2DEC(L835)/2&amp;" Countdown:"&amp;HEX2DEC(N835),29,"LONG PING FURNACE","FB","FURNACE STATUS RESPONSE Fan:"&amp;IF(_xlfn.BITAND(HEX2DEC(K835),1),"1","0")&amp;" Ignition:"&amp;IF(_xlfn.BITAND(HEX2DEC(K835),2),"1","0")&amp;" Burner:"&amp;IF(_xlfn.BITAND(HEX2DEC(K835),4),"1","0")&amp;" Unknown:"&amp;DEC2HEX(_xlfn.BITAND(HEX2DEC(K835),248)),"FF","Ack"),"")</f>
        <v>FURNACE STATUS RESPONSE Fan:1 Ignition:1 Burner:1 Unknown:20</v>
      </c>
    </row>
    <row r="836" spans="1:18" hidden="1" x14ac:dyDescent="0.25">
      <c r="A836" s="3">
        <f t="shared" si="53"/>
        <v>44761.582328449069</v>
      </c>
      <c r="B836" s="8" t="str">
        <f t="shared" si="54"/>
        <v>→</v>
      </c>
      <c r="C836" s="11">
        <f t="shared" si="55"/>
        <v>52.383000000000003</v>
      </c>
      <c r="D836" s="2">
        <v>1658203113178</v>
      </c>
      <c r="E836" t="s">
        <v>0</v>
      </c>
      <c r="F836" s="1" t="s">
        <v>3</v>
      </c>
      <c r="G836" s="1">
        <v>21</v>
      </c>
      <c r="H836" s="1">
        <v>31</v>
      </c>
      <c r="I836" s="1" t="s">
        <v>3</v>
      </c>
      <c r="J836" s="1">
        <v>0</v>
      </c>
      <c r="K836" s="1">
        <v>12</v>
      </c>
      <c r="L836" s="1">
        <v>25</v>
      </c>
      <c r="M836" s="1">
        <v>1</v>
      </c>
      <c r="N836" s="1" t="s">
        <v>4</v>
      </c>
      <c r="O836" s="1">
        <v>0</v>
      </c>
      <c r="P836" s="1" t="s">
        <v>101</v>
      </c>
      <c r="Q836" s="1" t="s">
        <v>108</v>
      </c>
      <c r="R836" t="str">
        <f t="shared" si="56"/>
        <v>TEMPERATURE INFO Set:18 Actual:18.5 Countdown:180</v>
      </c>
    </row>
    <row r="837" spans="1:18" hidden="1" x14ac:dyDescent="0.25">
      <c r="A837" s="3">
        <f t="shared" si="53"/>
        <v>44761.58232858796</v>
      </c>
      <c r="B837" s="8" t="str">
        <f t="shared" si="54"/>
        <v>←</v>
      </c>
      <c r="C837" s="11">
        <f t="shared" si="55"/>
        <v>1.2E-2</v>
      </c>
      <c r="D837" s="2">
        <v>1658203113190</v>
      </c>
      <c r="E837" t="s">
        <v>0</v>
      </c>
      <c r="F837" s="1">
        <v>5</v>
      </c>
      <c r="G837" s="1">
        <v>31</v>
      </c>
      <c r="H837" s="1">
        <v>21</v>
      </c>
      <c r="I837" s="1" t="s">
        <v>6</v>
      </c>
      <c r="J837" s="1">
        <v>3</v>
      </c>
      <c r="K837" s="1" t="s">
        <v>7</v>
      </c>
      <c r="R837" t="str">
        <f t="shared" si="56"/>
        <v>Ack</v>
      </c>
    </row>
    <row r="838" spans="1:18" hidden="1" x14ac:dyDescent="0.25">
      <c r="A838" s="3">
        <f t="shared" si="53"/>
        <v>44761.582330277779</v>
      </c>
      <c r="B838" s="8" t="str">
        <f t="shared" si="54"/>
        <v>←</v>
      </c>
      <c r="C838" s="11">
        <f t="shared" si="55"/>
        <v>0.14599999999999999</v>
      </c>
      <c r="D838" s="2">
        <v>1658203113336</v>
      </c>
      <c r="E838" t="s">
        <v>0</v>
      </c>
      <c r="F838" s="1">
        <v>9</v>
      </c>
      <c r="G838" s="1">
        <v>31</v>
      </c>
      <c r="H838" s="1">
        <v>21</v>
      </c>
      <c r="I838" s="1">
        <v>5</v>
      </c>
      <c r="J838" s="1">
        <v>0</v>
      </c>
      <c r="K838" s="1">
        <v>23</v>
      </c>
      <c r="L838" s="1">
        <v>0</v>
      </c>
      <c r="M838" s="1">
        <v>0</v>
      </c>
      <c r="N838" s="1" t="s">
        <v>8</v>
      </c>
      <c r="O838" s="1">
        <v>20</v>
      </c>
      <c r="R838" t="str">
        <f t="shared" si="56"/>
        <v>FURNACE STATUS REPORT Fan:1 Ignition:1 Burner:0 Unknown:20</v>
      </c>
    </row>
    <row r="839" spans="1:18" hidden="1" x14ac:dyDescent="0.25">
      <c r="A839" s="3">
        <f t="shared" si="53"/>
        <v>44761.582331157406</v>
      </c>
      <c r="B839" s="8" t="str">
        <f t="shared" si="54"/>
        <v>→</v>
      </c>
      <c r="C839" s="11">
        <f t="shared" si="55"/>
        <v>7.5999999999999998E-2</v>
      </c>
      <c r="D839" s="2">
        <v>1658203113412</v>
      </c>
      <c r="E839" t="s">
        <v>0</v>
      </c>
      <c r="F839" s="1">
        <v>5</v>
      </c>
      <c r="G839" s="1">
        <v>21</v>
      </c>
      <c r="H839" s="1">
        <v>31</v>
      </c>
      <c r="I839" s="1" t="s">
        <v>6</v>
      </c>
      <c r="J839" s="1">
        <v>62</v>
      </c>
      <c r="K839" s="1">
        <v>95</v>
      </c>
      <c r="R839" t="str">
        <f t="shared" si="56"/>
        <v>Ack</v>
      </c>
    </row>
    <row r="840" spans="1:18" hidden="1" x14ac:dyDescent="0.25">
      <c r="A840" s="3">
        <f t="shared" si="53"/>
        <v>44761.582403831017</v>
      </c>
      <c r="B840" s="8" t="str">
        <f t="shared" si="54"/>
        <v>→</v>
      </c>
      <c r="C840" s="11">
        <f t="shared" si="55"/>
        <v>6.2789999999999999</v>
      </c>
      <c r="D840" s="2">
        <v>1658203119691</v>
      </c>
      <c r="E840" t="s">
        <v>0</v>
      </c>
      <c r="F840" s="1">
        <v>8</v>
      </c>
      <c r="G840" s="1">
        <v>21</v>
      </c>
      <c r="H840" s="1">
        <v>31</v>
      </c>
      <c r="I840" s="1">
        <v>7</v>
      </c>
      <c r="J840" s="1" t="s">
        <v>70</v>
      </c>
      <c r="K840" s="1">
        <v>35</v>
      </c>
      <c r="L840" s="1">
        <v>1</v>
      </c>
      <c r="M840" s="1" t="s">
        <v>46</v>
      </c>
      <c r="N840" s="1" t="s">
        <v>109</v>
      </c>
      <c r="R840" t="str">
        <f t="shared" si="56"/>
        <v>TIME 13:53 Tue</v>
      </c>
    </row>
    <row r="841" spans="1:18" hidden="1" x14ac:dyDescent="0.25">
      <c r="A841" s="3">
        <f t="shared" si="53"/>
        <v>44761.582405081012</v>
      </c>
      <c r="B841" s="8" t="str">
        <f t="shared" si="54"/>
        <v>←</v>
      </c>
      <c r="C841" s="11">
        <f t="shared" si="55"/>
        <v>0.108</v>
      </c>
      <c r="D841" s="2">
        <v>1658203119799</v>
      </c>
      <c r="E841" t="s">
        <v>0</v>
      </c>
      <c r="F841" s="1">
        <v>5</v>
      </c>
      <c r="G841" s="1">
        <v>31</v>
      </c>
      <c r="H841" s="1">
        <v>21</v>
      </c>
      <c r="I841" s="1" t="s">
        <v>6</v>
      </c>
      <c r="J841" s="1">
        <v>3</v>
      </c>
      <c r="K841" s="1" t="s">
        <v>7</v>
      </c>
      <c r="R841" t="str">
        <f t="shared" si="56"/>
        <v>Ack</v>
      </c>
    </row>
    <row r="842" spans="1:18" hidden="1" x14ac:dyDescent="0.25">
      <c r="A842" s="3">
        <f t="shared" si="53"/>
        <v>44761.582406261572</v>
      </c>
      <c r="B842" s="8" t="str">
        <f t="shared" si="54"/>
        <v>→</v>
      </c>
      <c r="C842" s="11">
        <f t="shared" si="55"/>
        <v>0.10199999999999999</v>
      </c>
      <c r="D842" s="2">
        <v>1658203119901</v>
      </c>
      <c r="E842" t="s">
        <v>0</v>
      </c>
      <c r="F842" s="1">
        <v>5</v>
      </c>
      <c r="G842" s="1">
        <v>21</v>
      </c>
      <c r="H842" s="1">
        <v>31</v>
      </c>
      <c r="I842" s="1">
        <v>9</v>
      </c>
      <c r="J842" s="1">
        <v>60</v>
      </c>
      <c r="K842" s="1" t="s">
        <v>11</v>
      </c>
      <c r="R842" t="str">
        <f t="shared" si="56"/>
        <v>PING FURNACE</v>
      </c>
    </row>
    <row r="843" spans="1:18" hidden="1" x14ac:dyDescent="0.25">
      <c r="A843" s="3">
        <f t="shared" si="53"/>
        <v>44761.58240746527</v>
      </c>
      <c r="B843" s="8" t="str">
        <f t="shared" si="54"/>
        <v>←</v>
      </c>
      <c r="C843" s="11">
        <f t="shared" si="55"/>
        <v>0.104</v>
      </c>
      <c r="D843" s="2">
        <v>1658203120005</v>
      </c>
      <c r="E843" t="s">
        <v>0</v>
      </c>
      <c r="F843" s="1">
        <v>5</v>
      </c>
      <c r="G843" s="1">
        <v>31</v>
      </c>
      <c r="H843" s="1">
        <v>21</v>
      </c>
      <c r="I843" s="1" t="s">
        <v>6</v>
      </c>
      <c r="J843" s="1">
        <v>3</v>
      </c>
      <c r="K843" s="1" t="s">
        <v>7</v>
      </c>
      <c r="R843" t="str">
        <f t="shared" si="56"/>
        <v>Ack</v>
      </c>
    </row>
    <row r="844" spans="1:18" hidden="1" x14ac:dyDescent="0.25">
      <c r="A844" s="3">
        <f t="shared" si="53"/>
        <v>44761.582409328701</v>
      </c>
      <c r="B844" s="8" t="str">
        <f t="shared" si="54"/>
        <v>→</v>
      </c>
      <c r="C844" s="11">
        <f t="shared" si="55"/>
        <v>0.161</v>
      </c>
      <c r="D844" s="2">
        <v>1658203120166</v>
      </c>
      <c r="E844" t="s">
        <v>0</v>
      </c>
      <c r="F844" s="1" t="s">
        <v>3</v>
      </c>
      <c r="G844" s="1">
        <v>21</v>
      </c>
      <c r="H844" s="1">
        <v>31</v>
      </c>
      <c r="I844" s="1" t="s">
        <v>3</v>
      </c>
      <c r="J844" s="1">
        <v>0</v>
      </c>
      <c r="K844" s="1">
        <v>12</v>
      </c>
      <c r="L844" s="1">
        <v>25</v>
      </c>
      <c r="M844" s="1">
        <v>1</v>
      </c>
      <c r="N844" s="1" t="s">
        <v>4</v>
      </c>
      <c r="O844" s="1">
        <v>0</v>
      </c>
      <c r="P844" s="1" t="s">
        <v>101</v>
      </c>
      <c r="Q844" s="1" t="s">
        <v>108</v>
      </c>
      <c r="R844" t="str">
        <f t="shared" si="56"/>
        <v>TEMPERATURE INFO Set:18 Actual:18.5 Countdown:180</v>
      </c>
    </row>
    <row r="845" spans="1:18" hidden="1" x14ac:dyDescent="0.25">
      <c r="A845" s="3">
        <f t="shared" si="53"/>
        <v>44761.582411122683</v>
      </c>
      <c r="B845" s="8" t="str">
        <f t="shared" si="54"/>
        <v>←</v>
      </c>
      <c r="C845" s="11">
        <f t="shared" si="55"/>
        <v>0.155</v>
      </c>
      <c r="D845" s="2">
        <v>1658203120321</v>
      </c>
      <c r="E845" t="s">
        <v>0</v>
      </c>
      <c r="F845" s="1">
        <v>5</v>
      </c>
      <c r="G845" s="1">
        <v>31</v>
      </c>
      <c r="H845" s="1">
        <v>21</v>
      </c>
      <c r="I845" s="1" t="s">
        <v>6</v>
      </c>
      <c r="J845" s="1">
        <v>3</v>
      </c>
      <c r="K845" s="1" t="s">
        <v>7</v>
      </c>
      <c r="R845" t="str">
        <f t="shared" si="56"/>
        <v>Ack</v>
      </c>
    </row>
    <row r="846" spans="1:18" x14ac:dyDescent="0.25">
      <c r="A846" s="3">
        <f t="shared" si="53"/>
        <v>44761.582412071752</v>
      </c>
      <c r="B846" s="8" t="str">
        <f t="shared" si="54"/>
        <v>→</v>
      </c>
      <c r="C846" s="11">
        <f t="shared" si="55"/>
        <v>8.2000000000000003E-2</v>
      </c>
      <c r="D846" s="2">
        <v>1658203120403</v>
      </c>
      <c r="E846" t="s">
        <v>0</v>
      </c>
      <c r="F846" s="1">
        <v>6</v>
      </c>
      <c r="G846" s="1">
        <v>21</v>
      </c>
      <c r="H846" s="1">
        <v>31</v>
      </c>
      <c r="I846" s="1">
        <v>29</v>
      </c>
      <c r="J846" s="1">
        <v>0</v>
      </c>
      <c r="K846" s="1" t="s">
        <v>13</v>
      </c>
      <c r="L846" s="1" t="s">
        <v>14</v>
      </c>
      <c r="R846" t="str">
        <f t="shared" si="56"/>
        <v>LONG PING FURNACE</v>
      </c>
    </row>
    <row r="847" spans="1:18" hidden="1" x14ac:dyDescent="0.25">
      <c r="A847" s="3">
        <f t="shared" si="53"/>
        <v>44761.582413368051</v>
      </c>
      <c r="B847" s="8" t="str">
        <f t="shared" si="54"/>
        <v>←</v>
      </c>
      <c r="C847" s="11">
        <f t="shared" si="55"/>
        <v>0.112</v>
      </c>
      <c r="D847" s="2">
        <v>1658203120515</v>
      </c>
      <c r="E847" t="s">
        <v>0</v>
      </c>
      <c r="F847" s="1">
        <v>5</v>
      </c>
      <c r="G847" s="1">
        <v>31</v>
      </c>
      <c r="H847" s="1">
        <v>21</v>
      </c>
      <c r="I847" s="1" t="s">
        <v>6</v>
      </c>
      <c r="J847" s="1">
        <v>3</v>
      </c>
      <c r="K847" s="1" t="s">
        <v>7</v>
      </c>
      <c r="R847" t="str">
        <f t="shared" si="56"/>
        <v>Ack</v>
      </c>
    </row>
    <row r="848" spans="1:18" hidden="1" x14ac:dyDescent="0.25">
      <c r="A848" s="3">
        <f t="shared" si="53"/>
        <v>44761.582414398144</v>
      </c>
      <c r="B848" s="8" t="str">
        <f t="shared" si="54"/>
        <v>→</v>
      </c>
      <c r="C848" s="11">
        <f t="shared" si="55"/>
        <v>8.8999999999999996E-2</v>
      </c>
      <c r="D848" s="2">
        <v>1658203120604</v>
      </c>
      <c r="E848" t="s">
        <v>0</v>
      </c>
      <c r="F848" s="1">
        <v>5</v>
      </c>
      <c r="G848" s="1">
        <v>21</v>
      </c>
      <c r="H848" s="1">
        <v>31</v>
      </c>
      <c r="I848" s="1">
        <v>6</v>
      </c>
      <c r="J848" s="1">
        <v>60</v>
      </c>
      <c r="K848" s="1">
        <v>83</v>
      </c>
      <c r="R848" t="str">
        <f t="shared" si="56"/>
        <v>FURNACE STATUS REQUEST</v>
      </c>
    </row>
    <row r="849" spans="1:18" hidden="1" x14ac:dyDescent="0.25">
      <c r="A849" s="3">
        <f t="shared" si="53"/>
        <v>44761.582416238423</v>
      </c>
      <c r="B849" s="8" t="str">
        <f t="shared" si="54"/>
        <v>←</v>
      </c>
      <c r="C849" s="11">
        <f t="shared" si="55"/>
        <v>0.159</v>
      </c>
      <c r="D849" s="2">
        <v>1658203120763</v>
      </c>
      <c r="E849" t="s">
        <v>0</v>
      </c>
      <c r="F849" s="1">
        <v>9</v>
      </c>
      <c r="G849" s="1">
        <v>31</v>
      </c>
      <c r="H849" s="1">
        <v>21</v>
      </c>
      <c r="I849" s="1" t="s">
        <v>1</v>
      </c>
      <c r="J849" s="1">
        <v>0</v>
      </c>
      <c r="K849" s="1">
        <v>23</v>
      </c>
      <c r="L849" s="1">
        <v>0</v>
      </c>
      <c r="M849" s="1">
        <v>0</v>
      </c>
      <c r="N849" s="1">
        <v>71</v>
      </c>
      <c r="O849" s="1">
        <v>73</v>
      </c>
      <c r="R849" t="str">
        <f t="shared" si="56"/>
        <v>FURNACE STATUS RESPONSE Fan:1 Ignition:1 Burner:0 Unknown:20</v>
      </c>
    </row>
    <row r="850" spans="1:18" hidden="1" x14ac:dyDescent="0.25">
      <c r="A850" s="3">
        <f t="shared" si="53"/>
        <v>44761.582926504627</v>
      </c>
      <c r="B850" s="8" t="str">
        <f t="shared" si="54"/>
        <v>←</v>
      </c>
      <c r="C850" s="11">
        <f t="shared" si="55"/>
        <v>44.087000000000003</v>
      </c>
      <c r="D850" s="2">
        <v>1658203164850</v>
      </c>
      <c r="E850" t="s">
        <v>0</v>
      </c>
      <c r="F850" s="1">
        <v>9</v>
      </c>
      <c r="G850" s="1">
        <v>31</v>
      </c>
      <c r="H850" s="1">
        <v>21</v>
      </c>
      <c r="I850" s="1">
        <v>5</v>
      </c>
      <c r="J850" s="1">
        <v>0</v>
      </c>
      <c r="K850" s="1">
        <v>21</v>
      </c>
      <c r="L850" s="1">
        <v>0</v>
      </c>
      <c r="M850" s="1">
        <v>0</v>
      </c>
      <c r="N850" s="1">
        <v>59</v>
      </c>
      <c r="O850" s="1" t="s">
        <v>3</v>
      </c>
      <c r="R850" t="str">
        <f t="shared" si="56"/>
        <v>FURNACE STATUS REPORT Fan:1 Ignition:0 Burner:0 Unknown:20</v>
      </c>
    </row>
    <row r="851" spans="1:18" hidden="1" x14ac:dyDescent="0.25">
      <c r="A851" s="3">
        <f t="shared" si="53"/>
        <v>44761.58292739583</v>
      </c>
      <c r="B851" s="8" t="str">
        <f t="shared" si="54"/>
        <v>→</v>
      </c>
      <c r="C851" s="11">
        <f t="shared" si="55"/>
        <v>7.6999999999999999E-2</v>
      </c>
      <c r="D851" s="2">
        <v>1658203164927</v>
      </c>
      <c r="E851" t="s">
        <v>0</v>
      </c>
      <c r="F851" s="1">
        <v>5</v>
      </c>
      <c r="G851" s="1">
        <v>21</v>
      </c>
      <c r="H851" s="1">
        <v>31</v>
      </c>
      <c r="I851" s="1" t="s">
        <v>6</v>
      </c>
      <c r="J851" s="1">
        <v>62</v>
      </c>
      <c r="K851" s="1">
        <v>95</v>
      </c>
      <c r="R851" t="str">
        <f t="shared" si="56"/>
        <v>Ack</v>
      </c>
    </row>
    <row r="852" spans="1:18" hidden="1" x14ac:dyDescent="0.25">
      <c r="A852" s="3">
        <f t="shared" si="53"/>
        <v>44761.58292966435</v>
      </c>
      <c r="B852" s="8" t="str">
        <f t="shared" si="54"/>
        <v>←</v>
      </c>
      <c r="C852" s="11">
        <f t="shared" si="55"/>
        <v>0.19600000000000001</v>
      </c>
      <c r="D852" s="2">
        <v>1658203165123</v>
      </c>
      <c r="E852" t="s">
        <v>0</v>
      </c>
      <c r="F852" s="1">
        <v>9</v>
      </c>
      <c r="G852" s="1">
        <v>31</v>
      </c>
      <c r="H852" s="1">
        <v>21</v>
      </c>
      <c r="I852" s="1">
        <v>5</v>
      </c>
      <c r="J852" s="1">
        <v>0</v>
      </c>
      <c r="K852" s="1">
        <v>1</v>
      </c>
      <c r="L852" s="1">
        <v>0</v>
      </c>
      <c r="M852" s="1">
        <v>0</v>
      </c>
      <c r="N852" s="1" t="s">
        <v>15</v>
      </c>
      <c r="O852" s="1">
        <v>88</v>
      </c>
      <c r="R852" t="str">
        <f t="shared" si="56"/>
        <v>FURNACE STATUS REPORT Fan:1 Ignition:0 Burner:0 Unknown:0</v>
      </c>
    </row>
    <row r="853" spans="1:18" hidden="1" x14ac:dyDescent="0.25">
      <c r="A853" s="3">
        <f t="shared" si="53"/>
        <v>44761.582930648146</v>
      </c>
      <c r="B853" s="8" t="str">
        <f t="shared" si="54"/>
        <v>→</v>
      </c>
      <c r="C853" s="11">
        <f t="shared" si="55"/>
        <v>8.5000000000000006E-2</v>
      </c>
      <c r="D853" s="2">
        <v>1658203165208</v>
      </c>
      <c r="E853" t="s">
        <v>0</v>
      </c>
      <c r="F853" s="1">
        <v>5</v>
      </c>
      <c r="G853" s="1">
        <v>21</v>
      </c>
      <c r="H853" s="1">
        <v>31</v>
      </c>
      <c r="I853" s="1" t="s">
        <v>6</v>
      </c>
      <c r="J853" s="1">
        <v>62</v>
      </c>
      <c r="K853" s="1">
        <v>95</v>
      </c>
      <c r="R853" t="str">
        <f t="shared" si="56"/>
        <v>Ack</v>
      </c>
    </row>
    <row r="854" spans="1:18" hidden="1" x14ac:dyDescent="0.25">
      <c r="A854" s="3">
        <f t="shared" si="53"/>
        <v>44761.5830980787</v>
      </c>
      <c r="B854" s="8" t="str">
        <f t="shared" si="54"/>
        <v>→</v>
      </c>
      <c r="C854" s="11">
        <f t="shared" si="55"/>
        <v>14.465999999999999</v>
      </c>
      <c r="D854" s="2">
        <v>1658203179674</v>
      </c>
      <c r="E854" t="s">
        <v>0</v>
      </c>
      <c r="F854" s="1">
        <v>8</v>
      </c>
      <c r="G854" s="1">
        <v>21</v>
      </c>
      <c r="H854" s="1">
        <v>31</v>
      </c>
      <c r="I854" s="1">
        <v>7</v>
      </c>
      <c r="J854" s="1" t="s">
        <v>70</v>
      </c>
      <c r="K854" s="1">
        <v>36</v>
      </c>
      <c r="L854" s="1">
        <v>1</v>
      </c>
      <c r="M854" s="1">
        <v>20</v>
      </c>
      <c r="N854" s="1" t="s">
        <v>109</v>
      </c>
      <c r="R854" t="str">
        <f t="shared" si="56"/>
        <v>TIME 13:54 Tue</v>
      </c>
    </row>
    <row r="855" spans="1:18" hidden="1" x14ac:dyDescent="0.25">
      <c r="A855" s="3">
        <f t="shared" si="53"/>
        <v>44761.583099363423</v>
      </c>
      <c r="B855" s="8" t="str">
        <f t="shared" si="54"/>
        <v>←</v>
      </c>
      <c r="C855" s="11">
        <f t="shared" si="55"/>
        <v>0.111</v>
      </c>
      <c r="D855" s="2">
        <v>1658203179785</v>
      </c>
      <c r="E855" t="s">
        <v>0</v>
      </c>
      <c r="F855" s="1">
        <v>5</v>
      </c>
      <c r="G855" s="1">
        <v>31</v>
      </c>
      <c r="H855" s="1">
        <v>21</v>
      </c>
      <c r="I855" s="1" t="s">
        <v>6</v>
      </c>
      <c r="J855" s="1">
        <v>3</v>
      </c>
      <c r="K855" s="1" t="s">
        <v>7</v>
      </c>
      <c r="R855" t="str">
        <f t="shared" si="56"/>
        <v>Ack</v>
      </c>
    </row>
    <row r="856" spans="1:18" hidden="1" x14ac:dyDescent="0.25">
      <c r="A856" s="3">
        <f t="shared" si="53"/>
        <v>44761.583100543976</v>
      </c>
      <c r="B856" s="8" t="str">
        <f t="shared" si="54"/>
        <v>→</v>
      </c>
      <c r="C856" s="11">
        <f t="shared" si="55"/>
        <v>0.10199999999999999</v>
      </c>
      <c r="D856" s="2">
        <v>1658203179887</v>
      </c>
      <c r="E856" t="s">
        <v>0</v>
      </c>
      <c r="F856" s="1">
        <v>5</v>
      </c>
      <c r="G856" s="1">
        <v>21</v>
      </c>
      <c r="H856" s="1">
        <v>31</v>
      </c>
      <c r="I856" s="1">
        <v>9</v>
      </c>
      <c r="J856" s="1">
        <v>60</v>
      </c>
      <c r="K856" s="1" t="s">
        <v>11</v>
      </c>
      <c r="R856" t="str">
        <f t="shared" si="56"/>
        <v>PING FURNACE</v>
      </c>
    </row>
    <row r="857" spans="1:18" hidden="1" x14ac:dyDescent="0.25">
      <c r="A857" s="3">
        <f t="shared" si="53"/>
        <v>44761.583101990742</v>
      </c>
      <c r="B857" s="8" t="str">
        <f t="shared" si="54"/>
        <v>←</v>
      </c>
      <c r="C857" s="11">
        <f t="shared" si="55"/>
        <v>0.125</v>
      </c>
      <c r="D857" s="2">
        <v>1658203180012</v>
      </c>
      <c r="E857" t="s">
        <v>0</v>
      </c>
      <c r="F857" s="1">
        <v>5</v>
      </c>
      <c r="G857" s="1">
        <v>31</v>
      </c>
      <c r="H857" s="1">
        <v>21</v>
      </c>
      <c r="I857" s="1" t="s">
        <v>6</v>
      </c>
      <c r="J857" s="1">
        <v>3</v>
      </c>
      <c r="K857" s="1" t="s">
        <v>7</v>
      </c>
      <c r="R857" t="str">
        <f t="shared" si="56"/>
        <v>Ack</v>
      </c>
    </row>
    <row r="858" spans="1:18" hidden="1" x14ac:dyDescent="0.25">
      <c r="A858" s="3">
        <f t="shared" si="53"/>
        <v>44761.583104004625</v>
      </c>
      <c r="B858" s="8" t="str">
        <f t="shared" si="54"/>
        <v>→</v>
      </c>
      <c r="C858" s="11">
        <f t="shared" si="55"/>
        <v>0.17399999999999999</v>
      </c>
      <c r="D858" s="2">
        <v>1658203180186</v>
      </c>
      <c r="E858" t="s">
        <v>0</v>
      </c>
      <c r="F858" s="1" t="s">
        <v>3</v>
      </c>
      <c r="G858" s="1">
        <v>21</v>
      </c>
      <c r="H858" s="1">
        <v>31</v>
      </c>
      <c r="I858" s="1" t="s">
        <v>3</v>
      </c>
      <c r="J858" s="1">
        <v>0</v>
      </c>
      <c r="K858" s="1">
        <v>12</v>
      </c>
      <c r="L858" s="1">
        <v>25</v>
      </c>
      <c r="M858" s="1">
        <v>1</v>
      </c>
      <c r="N858" s="1">
        <v>78</v>
      </c>
      <c r="O858" s="1">
        <v>0</v>
      </c>
      <c r="P858" s="1" t="s">
        <v>102</v>
      </c>
      <c r="Q858" s="1">
        <v>84</v>
      </c>
      <c r="R858" t="str">
        <f t="shared" si="56"/>
        <v>TEMPERATURE INFO Set:18 Actual:18.5 Countdown:120</v>
      </c>
    </row>
    <row r="859" spans="1:18" hidden="1" x14ac:dyDescent="0.25">
      <c r="A859" s="3">
        <f t="shared" si="53"/>
        <v>44761.583104965277</v>
      </c>
      <c r="B859" s="8" t="str">
        <f t="shared" si="54"/>
        <v>←</v>
      </c>
      <c r="C859" s="11">
        <f t="shared" si="55"/>
        <v>8.3000000000000004E-2</v>
      </c>
      <c r="D859" s="2">
        <v>1658203180269</v>
      </c>
      <c r="E859" t="s">
        <v>0</v>
      </c>
      <c r="F859" s="1">
        <v>5</v>
      </c>
      <c r="G859" s="1">
        <v>31</v>
      </c>
      <c r="H859" s="1">
        <v>21</v>
      </c>
      <c r="I859" s="1" t="s">
        <v>6</v>
      </c>
      <c r="J859" s="1">
        <v>3</v>
      </c>
      <c r="K859" s="1" t="s">
        <v>7</v>
      </c>
      <c r="R859" t="str">
        <f t="shared" si="56"/>
        <v>Ack</v>
      </c>
    </row>
    <row r="860" spans="1:18" x14ac:dyDescent="0.25">
      <c r="A860" s="3">
        <f t="shared" si="53"/>
        <v>44761.58310625</v>
      </c>
      <c r="B860" s="8" t="str">
        <f t="shared" si="54"/>
        <v>→</v>
      </c>
      <c r="C860" s="11">
        <f t="shared" si="55"/>
        <v>0.111</v>
      </c>
      <c r="D860" s="2">
        <v>1658203180380</v>
      </c>
      <c r="E860" t="s">
        <v>0</v>
      </c>
      <c r="F860" s="1">
        <v>6</v>
      </c>
      <c r="G860" s="1">
        <v>21</v>
      </c>
      <c r="H860" s="1">
        <v>31</v>
      </c>
      <c r="I860" s="1">
        <v>29</v>
      </c>
      <c r="J860" s="1">
        <v>0</v>
      </c>
      <c r="K860" s="1" t="s">
        <v>13</v>
      </c>
      <c r="L860" s="1" t="s">
        <v>14</v>
      </c>
      <c r="R860" t="str">
        <f t="shared" si="56"/>
        <v>LONG PING FURNACE</v>
      </c>
    </row>
    <row r="861" spans="1:18" hidden="1" x14ac:dyDescent="0.25">
      <c r="A861" s="3">
        <f t="shared" si="53"/>
        <v>44761.58310747685</v>
      </c>
      <c r="B861" s="8" t="str">
        <f t="shared" si="54"/>
        <v>←</v>
      </c>
      <c r="C861" s="11">
        <f t="shared" si="55"/>
        <v>0.106</v>
      </c>
      <c r="D861" s="2">
        <v>1658203180486</v>
      </c>
      <c r="E861" t="s">
        <v>0</v>
      </c>
      <c r="F861" s="1">
        <v>5</v>
      </c>
      <c r="G861" s="1">
        <v>31</v>
      </c>
      <c r="H861" s="1">
        <v>21</v>
      </c>
      <c r="I861" s="1" t="s">
        <v>6</v>
      </c>
      <c r="J861" s="1">
        <v>3</v>
      </c>
      <c r="K861" s="1" t="s">
        <v>7</v>
      </c>
      <c r="R861" t="str">
        <f t="shared" si="56"/>
        <v>Ack</v>
      </c>
    </row>
    <row r="862" spans="1:18" hidden="1" x14ac:dyDescent="0.25">
      <c r="A862" s="3">
        <f t="shared" si="53"/>
        <v>44761.583108437502</v>
      </c>
      <c r="B862" s="8" t="str">
        <f t="shared" si="54"/>
        <v>→</v>
      </c>
      <c r="C862" s="11">
        <f t="shared" si="55"/>
        <v>8.3000000000000004E-2</v>
      </c>
      <c r="D862" s="2">
        <v>1658203180569</v>
      </c>
      <c r="E862" t="s">
        <v>0</v>
      </c>
      <c r="F862" s="1">
        <v>5</v>
      </c>
      <c r="G862" s="1">
        <v>21</v>
      </c>
      <c r="H862" s="1">
        <v>31</v>
      </c>
      <c r="I862" s="1">
        <v>6</v>
      </c>
      <c r="J862" s="1">
        <v>60</v>
      </c>
      <c r="K862" s="1">
        <v>83</v>
      </c>
      <c r="R862" t="str">
        <f t="shared" si="56"/>
        <v>FURNACE STATUS REQUEST</v>
      </c>
    </row>
    <row r="863" spans="1:18" hidden="1" x14ac:dyDescent="0.25">
      <c r="A863" s="3">
        <f t="shared" si="53"/>
        <v>44761.583110439817</v>
      </c>
      <c r="B863" s="8" t="str">
        <f t="shared" si="54"/>
        <v>←</v>
      </c>
      <c r="C863" s="11">
        <f t="shared" si="55"/>
        <v>0.17299999999999999</v>
      </c>
      <c r="D863" s="2">
        <v>1658203180742</v>
      </c>
      <c r="E863" t="s">
        <v>0</v>
      </c>
      <c r="F863" s="1">
        <v>9</v>
      </c>
      <c r="G863" s="1">
        <v>31</v>
      </c>
      <c r="H863" s="1">
        <v>21</v>
      </c>
      <c r="I863" s="1" t="s">
        <v>1</v>
      </c>
      <c r="J863" s="1">
        <v>0</v>
      </c>
      <c r="K863" s="1">
        <v>1</v>
      </c>
      <c r="L863" s="1">
        <v>0</v>
      </c>
      <c r="M863" s="1">
        <v>0</v>
      </c>
      <c r="N863" s="1">
        <v>73</v>
      </c>
      <c r="O863" s="1" t="s">
        <v>15</v>
      </c>
      <c r="R863" t="str">
        <f t="shared" si="56"/>
        <v>FURNACE STATUS RESPONSE Fan:1 Ignition:0 Burner:0 Unknown:0</v>
      </c>
    </row>
    <row r="864" spans="1:18" hidden="1" x14ac:dyDescent="0.25">
      <c r="A864" s="3">
        <f t="shared" si="53"/>
        <v>44761.583281770836</v>
      </c>
      <c r="B864" s="8" t="str">
        <f t="shared" si="54"/>
        <v>←</v>
      </c>
      <c r="C864" s="11">
        <f t="shared" si="55"/>
        <v>14.803000000000001</v>
      </c>
      <c r="D864" s="2">
        <v>1658203195545</v>
      </c>
      <c r="E864" t="s">
        <v>0</v>
      </c>
      <c r="F864" s="1">
        <v>9</v>
      </c>
      <c r="G864" s="1">
        <v>31</v>
      </c>
      <c r="H864" s="1">
        <v>21</v>
      </c>
      <c r="I864" s="1">
        <v>5</v>
      </c>
      <c r="J864" s="1">
        <v>0</v>
      </c>
      <c r="K864" s="1">
        <v>0</v>
      </c>
      <c r="L864" s="1">
        <v>0</v>
      </c>
      <c r="M864" s="1">
        <v>0</v>
      </c>
      <c r="N864" s="1" t="s">
        <v>19</v>
      </c>
      <c r="O864" s="1" t="s">
        <v>20</v>
      </c>
      <c r="R864" t="str">
        <f t="shared" si="56"/>
        <v>FURNACE STATUS REPORT Fan:0 Ignition:0 Burner:0 Unknown:0</v>
      </c>
    </row>
    <row r="865" spans="1:18" hidden="1" x14ac:dyDescent="0.25">
      <c r="A865" s="3">
        <f t="shared" si="53"/>
        <v>44761.583282546293</v>
      </c>
      <c r="B865" s="8" t="str">
        <f t="shared" si="54"/>
        <v>→</v>
      </c>
      <c r="C865" s="11">
        <f t="shared" si="55"/>
        <v>6.7000000000000004E-2</v>
      </c>
      <c r="D865" s="2">
        <v>1658203195612</v>
      </c>
      <c r="E865" t="s">
        <v>0</v>
      </c>
      <c r="F865" s="1">
        <v>5</v>
      </c>
      <c r="G865" s="1">
        <v>21</v>
      </c>
      <c r="H865" s="1">
        <v>31</v>
      </c>
      <c r="I865" s="1" t="s">
        <v>6</v>
      </c>
      <c r="J865" s="1">
        <v>62</v>
      </c>
      <c r="K865" s="1">
        <v>95</v>
      </c>
      <c r="R865" t="str">
        <f t="shared" si="56"/>
        <v>Ack</v>
      </c>
    </row>
    <row r="866" spans="1:18" hidden="1" x14ac:dyDescent="0.25">
      <c r="A866" s="3">
        <f t="shared" ref="A866:A929" si="57">D866/(1000*60*60*24)+25569+10/24</f>
        <v>44761.583792592595</v>
      </c>
      <c r="B866" s="8" t="str">
        <f t="shared" ref="B866:B929" si="58">IF(AND(G866=21,H866=31),"→",IF(AND(G866=31,H866=21),"←","Error"))</f>
        <v>→</v>
      </c>
      <c r="C866" s="11">
        <f t="shared" ref="C866:C929" si="59">(D866-D865)/1000</f>
        <v>44.067999999999998</v>
      </c>
      <c r="D866" s="2">
        <v>1658203239680</v>
      </c>
      <c r="E866" t="s">
        <v>0</v>
      </c>
      <c r="F866" s="1">
        <v>8</v>
      </c>
      <c r="G866" s="1">
        <v>21</v>
      </c>
      <c r="H866" s="1">
        <v>31</v>
      </c>
      <c r="I866" s="1">
        <v>7</v>
      </c>
      <c r="J866" s="1" t="s">
        <v>70</v>
      </c>
      <c r="K866" s="1">
        <v>37</v>
      </c>
      <c r="L866" s="1">
        <v>1</v>
      </c>
      <c r="M866" s="1" t="s">
        <v>60</v>
      </c>
      <c r="N866" s="1" t="s">
        <v>57</v>
      </c>
      <c r="R866" t="str">
        <f t="shared" si="56"/>
        <v>TIME 13:55 Tue</v>
      </c>
    </row>
    <row r="867" spans="1:18" hidden="1" x14ac:dyDescent="0.25">
      <c r="A867" s="3">
        <f t="shared" si="57"/>
        <v>44761.583794166661</v>
      </c>
      <c r="B867" s="8" t="str">
        <f t="shared" si="58"/>
        <v>←</v>
      </c>
      <c r="C867" s="11">
        <f t="shared" si="59"/>
        <v>0.13600000000000001</v>
      </c>
      <c r="D867" s="2">
        <v>1658203239816</v>
      </c>
      <c r="E867" t="s">
        <v>0</v>
      </c>
      <c r="F867" s="1">
        <v>5</v>
      </c>
      <c r="G867" s="1">
        <v>31</v>
      </c>
      <c r="H867" s="1">
        <v>21</v>
      </c>
      <c r="I867" s="1" t="s">
        <v>6</v>
      </c>
      <c r="J867" s="1">
        <v>3</v>
      </c>
      <c r="K867" s="1" t="s">
        <v>7</v>
      </c>
      <c r="R867" t="str">
        <f t="shared" si="56"/>
        <v>Ack</v>
      </c>
    </row>
    <row r="868" spans="1:18" hidden="1" x14ac:dyDescent="0.25">
      <c r="A868" s="3">
        <f t="shared" si="57"/>
        <v>44761.583795289349</v>
      </c>
      <c r="B868" s="8" t="str">
        <f t="shared" si="58"/>
        <v>→</v>
      </c>
      <c r="C868" s="11">
        <f t="shared" si="59"/>
        <v>9.7000000000000003E-2</v>
      </c>
      <c r="D868" s="2">
        <v>1658203239913</v>
      </c>
      <c r="E868" t="s">
        <v>0</v>
      </c>
      <c r="F868" s="1">
        <v>5</v>
      </c>
      <c r="G868" s="1">
        <v>21</v>
      </c>
      <c r="H868" s="1">
        <v>31</v>
      </c>
      <c r="I868" s="1">
        <v>9</v>
      </c>
      <c r="J868" s="1">
        <v>60</v>
      </c>
      <c r="K868" s="1" t="s">
        <v>11</v>
      </c>
      <c r="R868" t="str">
        <f t="shared" si="56"/>
        <v>PING FURNACE</v>
      </c>
    </row>
    <row r="869" spans="1:18" hidden="1" x14ac:dyDescent="0.25">
      <c r="A869" s="3">
        <f t="shared" si="57"/>
        <v>44761.583796539351</v>
      </c>
      <c r="B869" s="8" t="str">
        <f t="shared" si="58"/>
        <v>←</v>
      </c>
      <c r="C869" s="11">
        <f t="shared" si="59"/>
        <v>0.108</v>
      </c>
      <c r="D869" s="2">
        <v>1658203240021</v>
      </c>
      <c r="E869" t="s">
        <v>0</v>
      </c>
      <c r="F869" s="1">
        <v>5</v>
      </c>
      <c r="G869" s="1">
        <v>31</v>
      </c>
      <c r="H869" s="1">
        <v>21</v>
      </c>
      <c r="I869" s="1" t="s">
        <v>6</v>
      </c>
      <c r="J869" s="1">
        <v>3</v>
      </c>
      <c r="K869" s="1" t="s">
        <v>7</v>
      </c>
      <c r="R869" t="str">
        <f t="shared" si="56"/>
        <v>Ack</v>
      </c>
    </row>
    <row r="870" spans="1:18" hidden="1" x14ac:dyDescent="0.25">
      <c r="A870" s="3">
        <f t="shared" si="57"/>
        <v>44761.583798333326</v>
      </c>
      <c r="B870" s="8" t="str">
        <f t="shared" si="58"/>
        <v>→</v>
      </c>
      <c r="C870" s="11">
        <f t="shared" si="59"/>
        <v>0.155</v>
      </c>
      <c r="D870" s="2">
        <v>1658203240176</v>
      </c>
      <c r="E870" t="s">
        <v>0</v>
      </c>
      <c r="F870" s="1" t="s">
        <v>3</v>
      </c>
      <c r="G870" s="1">
        <v>21</v>
      </c>
      <c r="H870" s="1">
        <v>31</v>
      </c>
      <c r="I870" s="1" t="s">
        <v>3</v>
      </c>
      <c r="J870" s="1">
        <v>0</v>
      </c>
      <c r="K870" s="1">
        <v>12</v>
      </c>
      <c r="L870" s="1">
        <v>25</v>
      </c>
      <c r="M870" s="1">
        <v>1</v>
      </c>
      <c r="N870" s="1" t="s">
        <v>69</v>
      </c>
      <c r="O870" s="1">
        <v>0</v>
      </c>
      <c r="P870" s="1" t="s">
        <v>71</v>
      </c>
      <c r="Q870" s="1">
        <v>81</v>
      </c>
      <c r="R870" t="str">
        <f t="shared" si="56"/>
        <v>TEMPERATURE INFO Set:18 Actual:18.5 Countdown:60</v>
      </c>
    </row>
    <row r="871" spans="1:18" hidden="1" x14ac:dyDescent="0.25">
      <c r="A871" s="3">
        <f t="shared" si="57"/>
        <v>44761.583799629625</v>
      </c>
      <c r="B871" s="8" t="str">
        <f t="shared" si="58"/>
        <v>←</v>
      </c>
      <c r="C871" s="11">
        <f t="shared" si="59"/>
        <v>0.112</v>
      </c>
      <c r="D871" s="2">
        <v>1658203240288</v>
      </c>
      <c r="E871" t="s">
        <v>0</v>
      </c>
      <c r="F871" s="1">
        <v>5</v>
      </c>
      <c r="G871" s="1">
        <v>31</v>
      </c>
      <c r="H871" s="1">
        <v>21</v>
      </c>
      <c r="I871" s="1" t="s">
        <v>6</v>
      </c>
      <c r="J871" s="1">
        <v>3</v>
      </c>
      <c r="K871" s="1" t="s">
        <v>7</v>
      </c>
      <c r="R871" t="str">
        <f t="shared" si="56"/>
        <v>Ack</v>
      </c>
    </row>
    <row r="872" spans="1:18" x14ac:dyDescent="0.25">
      <c r="A872" s="3">
        <f t="shared" si="57"/>
        <v>44761.58380108796</v>
      </c>
      <c r="B872" s="8" t="str">
        <f t="shared" si="58"/>
        <v>→</v>
      </c>
      <c r="C872" s="11">
        <f t="shared" si="59"/>
        <v>0.126</v>
      </c>
      <c r="D872" s="2">
        <v>1658203240414</v>
      </c>
      <c r="E872" t="s">
        <v>0</v>
      </c>
      <c r="F872" s="1">
        <v>6</v>
      </c>
      <c r="G872" s="1">
        <v>21</v>
      </c>
      <c r="H872" s="1">
        <v>31</v>
      </c>
      <c r="I872" s="1">
        <v>29</v>
      </c>
      <c r="J872" s="1">
        <v>0</v>
      </c>
      <c r="K872" s="1" t="s">
        <v>13</v>
      </c>
      <c r="L872" s="1" t="s">
        <v>14</v>
      </c>
      <c r="R872" t="str">
        <f t="shared" si="56"/>
        <v>LONG PING FURNACE</v>
      </c>
    </row>
    <row r="873" spans="1:18" hidden="1" x14ac:dyDescent="0.25">
      <c r="A873" s="3">
        <f t="shared" si="57"/>
        <v>44761.583802534718</v>
      </c>
      <c r="B873" s="8" t="str">
        <f t="shared" si="58"/>
        <v>←</v>
      </c>
      <c r="C873" s="11">
        <f t="shared" si="59"/>
        <v>0.125</v>
      </c>
      <c r="D873" s="2">
        <v>1658203240539</v>
      </c>
      <c r="E873" t="s">
        <v>0</v>
      </c>
      <c r="F873" s="1">
        <v>5</v>
      </c>
      <c r="G873" s="1">
        <v>31</v>
      </c>
      <c r="H873" s="1">
        <v>21</v>
      </c>
      <c r="I873" s="1" t="s">
        <v>6</v>
      </c>
      <c r="J873" s="1">
        <v>3</v>
      </c>
      <c r="K873" s="1" t="s">
        <v>7</v>
      </c>
      <c r="R873" t="str">
        <f t="shared" si="56"/>
        <v>Ack</v>
      </c>
    </row>
    <row r="874" spans="1:18" hidden="1" x14ac:dyDescent="0.25">
      <c r="A874" s="3">
        <f t="shared" si="57"/>
        <v>44761.58380349537</v>
      </c>
      <c r="B874" s="8" t="str">
        <f t="shared" si="58"/>
        <v>→</v>
      </c>
      <c r="C874" s="11">
        <f t="shared" si="59"/>
        <v>8.3000000000000004E-2</v>
      </c>
      <c r="D874" s="2">
        <v>1658203240622</v>
      </c>
      <c r="E874" t="s">
        <v>0</v>
      </c>
      <c r="F874" s="1">
        <v>5</v>
      </c>
      <c r="G874" s="1">
        <v>21</v>
      </c>
      <c r="H874" s="1">
        <v>31</v>
      </c>
      <c r="I874" s="1">
        <v>6</v>
      </c>
      <c r="J874" s="1">
        <v>60</v>
      </c>
      <c r="K874" s="1">
        <v>83</v>
      </c>
      <c r="R874" t="str">
        <f t="shared" si="56"/>
        <v>FURNACE STATUS REQUEST</v>
      </c>
    </row>
    <row r="875" spans="1:18" hidden="1" x14ac:dyDescent="0.25">
      <c r="A875" s="3">
        <f t="shared" si="57"/>
        <v>44761.583805347218</v>
      </c>
      <c r="B875" s="8" t="str">
        <f t="shared" si="58"/>
        <v>←</v>
      </c>
      <c r="C875" s="11">
        <f t="shared" si="59"/>
        <v>0.16</v>
      </c>
      <c r="D875" s="2">
        <v>1658203240782</v>
      </c>
      <c r="E875" t="s">
        <v>0</v>
      </c>
      <c r="F875" s="1">
        <v>9</v>
      </c>
      <c r="G875" s="1">
        <v>31</v>
      </c>
      <c r="H875" s="1">
        <v>21</v>
      </c>
      <c r="I875" s="1" t="s">
        <v>1</v>
      </c>
      <c r="J875" s="1">
        <v>0</v>
      </c>
      <c r="K875" s="1">
        <v>0</v>
      </c>
      <c r="L875" s="1">
        <v>0</v>
      </c>
      <c r="M875" s="1">
        <v>0</v>
      </c>
      <c r="N875" s="1" t="s">
        <v>21</v>
      </c>
      <c r="O875" s="1" t="s">
        <v>22</v>
      </c>
      <c r="R875" t="str">
        <f t="shared" si="56"/>
        <v>FURNACE STATUS RESPONSE Fan:0 Ignition:0 Burner:0 Unknown:0</v>
      </c>
    </row>
    <row r="876" spans="1:18" hidden="1" x14ac:dyDescent="0.25">
      <c r="A876" s="3">
        <f t="shared" si="57"/>
        <v>44761.58448706018</v>
      </c>
      <c r="B876" s="8" t="str">
        <f t="shared" si="58"/>
        <v>→</v>
      </c>
      <c r="C876" s="11">
        <f t="shared" si="59"/>
        <v>58.9</v>
      </c>
      <c r="D876" s="2">
        <v>1658203299682</v>
      </c>
      <c r="E876" t="s">
        <v>0</v>
      </c>
      <c r="F876" s="1">
        <v>8</v>
      </c>
      <c r="G876" s="1">
        <v>21</v>
      </c>
      <c r="H876" s="1">
        <v>31</v>
      </c>
      <c r="I876" s="1">
        <v>7</v>
      </c>
      <c r="J876" s="1" t="s">
        <v>70</v>
      </c>
      <c r="K876" s="1">
        <v>38</v>
      </c>
      <c r="L876" s="1">
        <v>1</v>
      </c>
      <c r="M876" s="1">
        <v>84</v>
      </c>
      <c r="N876" s="1" t="s">
        <v>57</v>
      </c>
      <c r="R876" t="str">
        <f t="shared" si="56"/>
        <v>TIME 13:56 Tue</v>
      </c>
    </row>
    <row r="877" spans="1:18" hidden="1" x14ac:dyDescent="0.25">
      <c r="A877" s="3">
        <f t="shared" si="57"/>
        <v>44761.584488506945</v>
      </c>
      <c r="B877" s="8" t="str">
        <f t="shared" si="58"/>
        <v>←</v>
      </c>
      <c r="C877" s="11">
        <f t="shared" si="59"/>
        <v>0.125</v>
      </c>
      <c r="D877" s="2">
        <v>1658203299807</v>
      </c>
      <c r="E877" t="s">
        <v>0</v>
      </c>
      <c r="F877" s="1">
        <v>5</v>
      </c>
      <c r="G877" s="1">
        <v>31</v>
      </c>
      <c r="H877" s="1">
        <v>21</v>
      </c>
      <c r="I877" s="1" t="s">
        <v>6</v>
      </c>
      <c r="J877" s="1">
        <v>3</v>
      </c>
      <c r="K877" s="1" t="s">
        <v>7</v>
      </c>
      <c r="R877" t="str">
        <f t="shared" si="56"/>
        <v>Ack</v>
      </c>
    </row>
    <row r="878" spans="1:18" hidden="1" x14ac:dyDescent="0.25">
      <c r="A878" s="3">
        <f t="shared" si="57"/>
        <v>44761.584489849534</v>
      </c>
      <c r="B878" s="8" t="str">
        <f t="shared" si="58"/>
        <v>→</v>
      </c>
      <c r="C878" s="11">
        <f t="shared" si="59"/>
        <v>0.11600000000000001</v>
      </c>
      <c r="D878" s="2">
        <v>1658203299923</v>
      </c>
      <c r="E878" t="s">
        <v>0</v>
      </c>
      <c r="F878" s="1">
        <v>5</v>
      </c>
      <c r="G878" s="1">
        <v>21</v>
      </c>
      <c r="H878" s="1">
        <v>31</v>
      </c>
      <c r="I878" s="1">
        <v>9</v>
      </c>
      <c r="J878" s="1">
        <v>60</v>
      </c>
      <c r="K878" s="1" t="s">
        <v>11</v>
      </c>
      <c r="R878" t="str">
        <f t="shared" si="56"/>
        <v>PING FURNACE</v>
      </c>
    </row>
    <row r="879" spans="1:18" hidden="1" x14ac:dyDescent="0.25">
      <c r="A879" s="3">
        <f t="shared" si="57"/>
        <v>44761.584491134257</v>
      </c>
      <c r="B879" s="8" t="str">
        <f t="shared" si="58"/>
        <v>←</v>
      </c>
      <c r="C879" s="11">
        <f t="shared" si="59"/>
        <v>0.111</v>
      </c>
      <c r="D879" s="2">
        <v>1658203300034</v>
      </c>
      <c r="E879" t="s">
        <v>0</v>
      </c>
      <c r="F879" s="1">
        <v>5</v>
      </c>
      <c r="G879" s="1">
        <v>31</v>
      </c>
      <c r="H879" s="1">
        <v>21</v>
      </c>
      <c r="I879" s="1" t="s">
        <v>6</v>
      </c>
      <c r="J879" s="1">
        <v>3</v>
      </c>
      <c r="K879" s="1" t="s">
        <v>7</v>
      </c>
      <c r="R879" t="str">
        <f t="shared" si="56"/>
        <v>Ack</v>
      </c>
    </row>
    <row r="880" spans="1:18" hidden="1" x14ac:dyDescent="0.25">
      <c r="A880" s="3">
        <f t="shared" si="57"/>
        <v>44761.58449296296</v>
      </c>
      <c r="B880" s="8" t="str">
        <f t="shared" si="58"/>
        <v>→</v>
      </c>
      <c r="C880" s="11">
        <f t="shared" si="59"/>
        <v>0.158</v>
      </c>
      <c r="D880" s="2">
        <v>1658203300192</v>
      </c>
      <c r="E880" t="s">
        <v>0</v>
      </c>
      <c r="F880" s="1" t="s">
        <v>3</v>
      </c>
      <c r="G880" s="1">
        <v>21</v>
      </c>
      <c r="H880" s="1">
        <v>31</v>
      </c>
      <c r="I880" s="1" t="s">
        <v>3</v>
      </c>
      <c r="J880" s="1">
        <v>0</v>
      </c>
      <c r="K880" s="1">
        <v>12</v>
      </c>
      <c r="L880" s="1">
        <v>25</v>
      </c>
      <c r="M880" s="1">
        <v>1</v>
      </c>
      <c r="N880" s="1">
        <v>0</v>
      </c>
      <c r="O880" s="1">
        <v>0</v>
      </c>
      <c r="P880" s="1">
        <v>32</v>
      </c>
      <c r="Q880" s="1">
        <v>81</v>
      </c>
      <c r="R880" t="str">
        <f t="shared" si="56"/>
        <v>TEMPERATURE INFO Set:18 Actual:18.5 Countdown:0</v>
      </c>
    </row>
    <row r="881" spans="1:18" hidden="1" x14ac:dyDescent="0.25">
      <c r="A881" s="3">
        <f t="shared" si="57"/>
        <v>44761.584494525458</v>
      </c>
      <c r="B881" s="8" t="str">
        <f t="shared" si="58"/>
        <v>←</v>
      </c>
      <c r="C881" s="11">
        <f t="shared" si="59"/>
        <v>0.13500000000000001</v>
      </c>
      <c r="D881" s="2">
        <v>1658203300327</v>
      </c>
      <c r="E881" t="s">
        <v>0</v>
      </c>
      <c r="F881" s="1">
        <v>5</v>
      </c>
      <c r="G881" s="1">
        <v>31</v>
      </c>
      <c r="H881" s="1">
        <v>21</v>
      </c>
      <c r="I881" s="1" t="s">
        <v>6</v>
      </c>
      <c r="J881" s="1">
        <v>3</v>
      </c>
      <c r="K881" s="1" t="s">
        <v>7</v>
      </c>
      <c r="R881" t="str">
        <f t="shared" si="56"/>
        <v>Ack</v>
      </c>
    </row>
    <row r="882" spans="1:18" x14ac:dyDescent="0.25">
      <c r="A882" s="3">
        <f t="shared" si="57"/>
        <v>44761.58449577546</v>
      </c>
      <c r="B882" s="8" t="str">
        <f t="shared" si="58"/>
        <v>→</v>
      </c>
      <c r="C882" s="11">
        <f t="shared" si="59"/>
        <v>0.108</v>
      </c>
      <c r="D882" s="2">
        <v>1658203300435</v>
      </c>
      <c r="E882" t="s">
        <v>0</v>
      </c>
      <c r="F882" s="1">
        <v>6</v>
      </c>
      <c r="G882" s="1">
        <v>21</v>
      </c>
      <c r="H882" s="1">
        <v>31</v>
      </c>
      <c r="I882" s="1">
        <v>29</v>
      </c>
      <c r="J882" s="1">
        <v>0</v>
      </c>
      <c r="K882" s="1" t="s">
        <v>13</v>
      </c>
      <c r="L882" s="1" t="s">
        <v>14</v>
      </c>
      <c r="R882" t="str">
        <f t="shared" si="56"/>
        <v>LONG PING FURNACE</v>
      </c>
    </row>
    <row r="883" spans="1:18" hidden="1" x14ac:dyDescent="0.25">
      <c r="A883" s="3">
        <f t="shared" si="57"/>
        <v>44761.584496793977</v>
      </c>
      <c r="B883" s="8" t="str">
        <f t="shared" si="58"/>
        <v>←</v>
      </c>
      <c r="C883" s="11">
        <f t="shared" si="59"/>
        <v>8.7999999999999995E-2</v>
      </c>
      <c r="D883" s="2">
        <v>1658203300523</v>
      </c>
      <c r="E883" t="s">
        <v>0</v>
      </c>
      <c r="F883" s="1">
        <v>5</v>
      </c>
      <c r="G883" s="1">
        <v>31</v>
      </c>
      <c r="H883" s="1">
        <v>21</v>
      </c>
      <c r="I883" s="1" t="s">
        <v>6</v>
      </c>
      <c r="J883" s="1">
        <v>3</v>
      </c>
      <c r="K883" s="1" t="s">
        <v>7</v>
      </c>
      <c r="R883" t="str">
        <f t="shared" si="56"/>
        <v>Ack</v>
      </c>
    </row>
    <row r="884" spans="1:18" hidden="1" x14ac:dyDescent="0.25">
      <c r="A884" s="3">
        <f t="shared" si="57"/>
        <v>44761.584497731477</v>
      </c>
      <c r="B884" s="8" t="str">
        <f t="shared" si="58"/>
        <v>→</v>
      </c>
      <c r="C884" s="11">
        <f t="shared" si="59"/>
        <v>8.1000000000000003E-2</v>
      </c>
      <c r="D884" s="2">
        <v>1658203300604</v>
      </c>
      <c r="E884" t="s">
        <v>0</v>
      </c>
      <c r="F884" s="1">
        <v>5</v>
      </c>
      <c r="G884" s="1">
        <v>21</v>
      </c>
      <c r="H884" s="1">
        <v>31</v>
      </c>
      <c r="I884" s="1">
        <v>6</v>
      </c>
      <c r="J884" s="1">
        <v>60</v>
      </c>
      <c r="K884" s="1">
        <v>83</v>
      </c>
      <c r="R884" t="str">
        <f t="shared" si="56"/>
        <v>FURNACE STATUS REQUEST</v>
      </c>
    </row>
    <row r="885" spans="1:18" hidden="1" x14ac:dyDescent="0.25">
      <c r="A885" s="3">
        <f t="shared" si="57"/>
        <v>44761.584499560187</v>
      </c>
      <c r="B885" s="8" t="str">
        <f t="shared" si="58"/>
        <v>←</v>
      </c>
      <c r="C885" s="11">
        <f t="shared" si="59"/>
        <v>0.158</v>
      </c>
      <c r="D885" s="2">
        <v>1658203300762</v>
      </c>
      <c r="E885" t="s">
        <v>0</v>
      </c>
      <c r="F885" s="1">
        <v>9</v>
      </c>
      <c r="G885" s="1">
        <v>31</v>
      </c>
      <c r="H885" s="1">
        <v>21</v>
      </c>
      <c r="I885" s="1" t="s">
        <v>1</v>
      </c>
      <c r="J885" s="1">
        <v>0</v>
      </c>
      <c r="K885" s="1">
        <v>0</v>
      </c>
      <c r="L885" s="1">
        <v>0</v>
      </c>
      <c r="M885" s="1">
        <v>0</v>
      </c>
      <c r="N885" s="1" t="s">
        <v>21</v>
      </c>
      <c r="O885" s="1" t="s">
        <v>22</v>
      </c>
      <c r="R885" t="str">
        <f t="shared" si="56"/>
        <v>FURNACE STATUS RESPONSE Fan:0 Ignition:0 Burner:0 Unknown:0</v>
      </c>
    </row>
    <row r="886" spans="1:18" hidden="1" x14ac:dyDescent="0.25">
      <c r="A886" s="3">
        <f t="shared" si="57"/>
        <v>44761.585186886572</v>
      </c>
      <c r="B886" s="8" t="str">
        <f t="shared" si="58"/>
        <v>→</v>
      </c>
      <c r="C886" s="11">
        <f t="shared" si="59"/>
        <v>59.384999999999998</v>
      </c>
      <c r="D886" s="2">
        <v>1658203360147</v>
      </c>
      <c r="E886" t="s">
        <v>0</v>
      </c>
      <c r="F886" s="1">
        <v>8</v>
      </c>
      <c r="G886" s="1">
        <v>21</v>
      </c>
      <c r="H886" s="1">
        <v>31</v>
      </c>
      <c r="I886" s="1">
        <v>7</v>
      </c>
      <c r="J886" s="1" t="s">
        <v>70</v>
      </c>
      <c r="K886" s="1">
        <v>39</v>
      </c>
      <c r="L886" s="1">
        <v>1</v>
      </c>
      <c r="M886" s="1">
        <v>2</v>
      </c>
      <c r="N886" s="1" t="s">
        <v>109</v>
      </c>
      <c r="R886" t="str">
        <f t="shared" si="56"/>
        <v>TIME 13:57 Tue</v>
      </c>
    </row>
    <row r="887" spans="1:18" hidden="1" x14ac:dyDescent="0.25">
      <c r="A887" s="3">
        <f t="shared" si="57"/>
        <v>44761.585186979166</v>
      </c>
      <c r="B887" s="8" t="str">
        <f t="shared" si="58"/>
        <v>←</v>
      </c>
      <c r="C887" s="11">
        <f t="shared" si="59"/>
        <v>8.0000000000000002E-3</v>
      </c>
      <c r="D887" s="2">
        <v>1658203360155</v>
      </c>
      <c r="E887" t="s">
        <v>0</v>
      </c>
      <c r="F887" s="1">
        <v>5</v>
      </c>
      <c r="G887" s="1">
        <v>31</v>
      </c>
      <c r="H887" s="1">
        <v>21</v>
      </c>
      <c r="I887" s="1" t="s">
        <v>6</v>
      </c>
      <c r="J887" s="1">
        <v>3</v>
      </c>
      <c r="K887" s="1" t="s">
        <v>7</v>
      </c>
      <c r="R887" t="str">
        <f t="shared" si="56"/>
        <v>Ack</v>
      </c>
    </row>
    <row r="888" spans="1:18" hidden="1" x14ac:dyDescent="0.25">
      <c r="A888" s="3">
        <f t="shared" si="57"/>
        <v>44761.585187048608</v>
      </c>
      <c r="B888" s="8" t="str">
        <f t="shared" si="58"/>
        <v>→</v>
      </c>
      <c r="C888" s="11">
        <f t="shared" si="59"/>
        <v>6.0000000000000001E-3</v>
      </c>
      <c r="D888" s="2">
        <v>1658203360161</v>
      </c>
      <c r="E888" t="s">
        <v>0</v>
      </c>
      <c r="F888" s="1">
        <v>5</v>
      </c>
      <c r="G888" s="1">
        <v>21</v>
      </c>
      <c r="H888" s="1">
        <v>31</v>
      </c>
      <c r="I888" s="1">
        <v>9</v>
      </c>
      <c r="J888" s="1">
        <v>60</v>
      </c>
      <c r="K888" s="1" t="s">
        <v>11</v>
      </c>
      <c r="R888" t="str">
        <f t="shared" si="56"/>
        <v>PING FURNACE</v>
      </c>
    </row>
    <row r="889" spans="1:18" hidden="1" x14ac:dyDescent="0.25">
      <c r="A889" s="3">
        <f t="shared" si="57"/>
        <v>44761.585187129625</v>
      </c>
      <c r="B889" s="8" t="str">
        <f t="shared" si="58"/>
        <v>←</v>
      </c>
      <c r="C889" s="11">
        <f t="shared" si="59"/>
        <v>7.0000000000000001E-3</v>
      </c>
      <c r="D889" s="2">
        <v>1658203360168</v>
      </c>
      <c r="E889" t="s">
        <v>0</v>
      </c>
      <c r="F889" s="1">
        <v>5</v>
      </c>
      <c r="G889" s="1">
        <v>31</v>
      </c>
      <c r="H889" s="1">
        <v>21</v>
      </c>
      <c r="I889" s="1" t="s">
        <v>6</v>
      </c>
      <c r="J889" s="1">
        <v>3</v>
      </c>
      <c r="K889" s="1" t="s">
        <v>7</v>
      </c>
      <c r="R889" t="str">
        <f t="shared" si="56"/>
        <v>Ack</v>
      </c>
    </row>
    <row r="890" spans="1:18" hidden="1" x14ac:dyDescent="0.25">
      <c r="A890" s="3">
        <f t="shared" si="57"/>
        <v>44761.585187638884</v>
      </c>
      <c r="B890" s="8" t="str">
        <f t="shared" si="58"/>
        <v>→</v>
      </c>
      <c r="C890" s="11">
        <f t="shared" si="59"/>
        <v>4.3999999999999997E-2</v>
      </c>
      <c r="D890" s="2">
        <v>1658203360212</v>
      </c>
      <c r="E890" t="s">
        <v>0</v>
      </c>
      <c r="F890" s="1" t="s">
        <v>3</v>
      </c>
      <c r="G890" s="1">
        <v>21</v>
      </c>
      <c r="H890" s="1">
        <v>31</v>
      </c>
      <c r="I890" s="1" t="s">
        <v>3</v>
      </c>
      <c r="J890" s="1">
        <v>0</v>
      </c>
      <c r="K890" s="1">
        <v>12</v>
      </c>
      <c r="L890" s="1">
        <v>25</v>
      </c>
      <c r="M890" s="1">
        <v>1</v>
      </c>
      <c r="N890" s="1">
        <v>0</v>
      </c>
      <c r="O890" s="1">
        <v>0</v>
      </c>
      <c r="P890" s="1">
        <v>32</v>
      </c>
      <c r="Q890" s="1">
        <v>81</v>
      </c>
      <c r="R890" t="str">
        <f t="shared" si="56"/>
        <v>TEMPERATURE INFO Set:18 Actual:18.5 Countdown:0</v>
      </c>
    </row>
    <row r="891" spans="1:18" hidden="1" x14ac:dyDescent="0.25">
      <c r="A891" s="3">
        <f t="shared" si="57"/>
        <v>44761.585189120371</v>
      </c>
      <c r="B891" s="8" t="str">
        <f t="shared" si="58"/>
        <v>←</v>
      </c>
      <c r="C891" s="11">
        <f t="shared" si="59"/>
        <v>0.128</v>
      </c>
      <c r="D891" s="2">
        <v>1658203360340</v>
      </c>
      <c r="E891" t="s">
        <v>0</v>
      </c>
      <c r="F891" s="1">
        <v>5</v>
      </c>
      <c r="G891" s="1">
        <v>31</v>
      </c>
      <c r="H891" s="1">
        <v>21</v>
      </c>
      <c r="I891" s="1" t="s">
        <v>6</v>
      </c>
      <c r="J891" s="1">
        <v>3</v>
      </c>
      <c r="K891" s="1" t="s">
        <v>7</v>
      </c>
      <c r="R891" t="str">
        <f t="shared" si="56"/>
        <v>Ack</v>
      </c>
    </row>
    <row r="892" spans="1:18" x14ac:dyDescent="0.25">
      <c r="A892" s="3">
        <f t="shared" si="57"/>
        <v>44761.585190358797</v>
      </c>
      <c r="B892" s="8" t="str">
        <f t="shared" si="58"/>
        <v>→</v>
      </c>
      <c r="C892" s="11">
        <f t="shared" si="59"/>
        <v>0.107</v>
      </c>
      <c r="D892" s="2">
        <v>1658203360447</v>
      </c>
      <c r="E892" t="s">
        <v>0</v>
      </c>
      <c r="F892" s="1">
        <v>6</v>
      </c>
      <c r="G892" s="1">
        <v>21</v>
      </c>
      <c r="H892" s="1">
        <v>31</v>
      </c>
      <c r="I892" s="1">
        <v>29</v>
      </c>
      <c r="J892" s="1">
        <v>0</v>
      </c>
      <c r="K892" s="1" t="s">
        <v>13</v>
      </c>
      <c r="L892" s="1" t="s">
        <v>14</v>
      </c>
      <c r="R892" t="str">
        <f t="shared" si="56"/>
        <v>LONG PING FURNACE</v>
      </c>
    </row>
    <row r="893" spans="1:18" hidden="1" x14ac:dyDescent="0.25">
      <c r="A893" s="3">
        <f t="shared" si="57"/>
        <v>44761.585191909719</v>
      </c>
      <c r="B893" s="8" t="str">
        <f t="shared" si="58"/>
        <v>←</v>
      </c>
      <c r="C893" s="11">
        <f t="shared" si="59"/>
        <v>0.13400000000000001</v>
      </c>
      <c r="D893" s="2">
        <v>1658203360581</v>
      </c>
      <c r="E893" t="s">
        <v>0</v>
      </c>
      <c r="F893" s="1">
        <v>5</v>
      </c>
      <c r="G893" s="1">
        <v>31</v>
      </c>
      <c r="H893" s="1">
        <v>21</v>
      </c>
      <c r="I893" s="1" t="s">
        <v>6</v>
      </c>
      <c r="J893" s="1">
        <v>3</v>
      </c>
      <c r="K893" s="1" t="s">
        <v>7</v>
      </c>
      <c r="R893" t="str">
        <f t="shared" si="56"/>
        <v>Ack</v>
      </c>
    </row>
    <row r="894" spans="1:18" hidden="1" x14ac:dyDescent="0.25">
      <c r="A894" s="3">
        <f t="shared" si="57"/>
        <v>44761.585192881939</v>
      </c>
      <c r="B894" s="8" t="str">
        <f t="shared" si="58"/>
        <v>→</v>
      </c>
      <c r="C894" s="11">
        <f t="shared" si="59"/>
        <v>8.4000000000000005E-2</v>
      </c>
      <c r="D894" s="2">
        <v>1658203360665</v>
      </c>
      <c r="E894" t="s">
        <v>0</v>
      </c>
      <c r="F894" s="1">
        <v>5</v>
      </c>
      <c r="G894" s="1">
        <v>21</v>
      </c>
      <c r="H894" s="1">
        <v>31</v>
      </c>
      <c r="I894" s="1">
        <v>6</v>
      </c>
      <c r="J894" s="1">
        <v>60</v>
      </c>
      <c r="K894" s="1">
        <v>83</v>
      </c>
      <c r="R894" t="str">
        <f t="shared" si="56"/>
        <v>FURNACE STATUS REQUEST</v>
      </c>
    </row>
    <row r="895" spans="1:18" hidden="1" x14ac:dyDescent="0.25">
      <c r="A895" s="3">
        <f t="shared" si="57"/>
        <v>44761.585195</v>
      </c>
      <c r="B895" s="8" t="str">
        <f t="shared" si="58"/>
        <v>←</v>
      </c>
      <c r="C895" s="11">
        <f t="shared" si="59"/>
        <v>0.183</v>
      </c>
      <c r="D895" s="2">
        <v>1658203360848</v>
      </c>
      <c r="E895" t="s">
        <v>0</v>
      </c>
      <c r="F895" s="1">
        <v>9</v>
      </c>
      <c r="G895" s="1">
        <v>31</v>
      </c>
      <c r="H895" s="1">
        <v>21</v>
      </c>
      <c r="I895" s="1" t="s">
        <v>1</v>
      </c>
      <c r="J895" s="1">
        <v>0</v>
      </c>
      <c r="K895" s="1">
        <v>0</v>
      </c>
      <c r="L895" s="1">
        <v>0</v>
      </c>
      <c r="M895" s="1">
        <v>0</v>
      </c>
      <c r="N895" s="1" t="s">
        <v>21</v>
      </c>
      <c r="O895" s="1" t="s">
        <v>22</v>
      </c>
      <c r="R895" t="str">
        <f t="shared" si="56"/>
        <v>FURNACE STATUS RESPONSE Fan:0 Ignition:0 Burner:0 Unknown:0</v>
      </c>
    </row>
    <row r="896" spans="1:18" hidden="1" x14ac:dyDescent="0.25">
      <c r="A896" s="3">
        <f t="shared" si="57"/>
        <v>44761.585525729162</v>
      </c>
      <c r="B896" s="8" t="str">
        <f t="shared" si="58"/>
        <v>→</v>
      </c>
      <c r="C896" s="11">
        <f t="shared" si="59"/>
        <v>28.574999999999999</v>
      </c>
      <c r="D896" s="2">
        <v>1658203389423</v>
      </c>
      <c r="E896" t="s">
        <v>0</v>
      </c>
      <c r="F896" s="1" t="s">
        <v>3</v>
      </c>
      <c r="G896" s="1">
        <v>21</v>
      </c>
      <c r="H896" s="1">
        <v>31</v>
      </c>
      <c r="I896" s="1" t="s">
        <v>3</v>
      </c>
      <c r="J896" s="1" t="s">
        <v>6</v>
      </c>
      <c r="K896" s="1">
        <v>12</v>
      </c>
      <c r="L896" s="1">
        <v>24</v>
      </c>
      <c r="M896" s="1">
        <v>1</v>
      </c>
      <c r="N896" s="1" t="s">
        <v>4</v>
      </c>
      <c r="O896" s="1">
        <v>0</v>
      </c>
      <c r="P896" s="1">
        <v>36</v>
      </c>
      <c r="Q896" s="1">
        <v>78</v>
      </c>
      <c r="R896" t="str">
        <f t="shared" si="56"/>
        <v>TEMPERATURE INFO Set:18 Actual:18 Countdown:180</v>
      </c>
    </row>
    <row r="897" spans="1:18" hidden="1" x14ac:dyDescent="0.25">
      <c r="A897" s="3">
        <f t="shared" si="57"/>
        <v>44761.585527210649</v>
      </c>
      <c r="B897" s="8" t="str">
        <f t="shared" si="58"/>
        <v>←</v>
      </c>
      <c r="C897" s="11">
        <f t="shared" si="59"/>
        <v>0.128</v>
      </c>
      <c r="D897" s="2">
        <v>1658203389551</v>
      </c>
      <c r="E897" t="s">
        <v>0</v>
      </c>
      <c r="F897" s="1">
        <v>5</v>
      </c>
      <c r="G897" s="1">
        <v>31</v>
      </c>
      <c r="H897" s="1">
        <v>21</v>
      </c>
      <c r="I897" s="1" t="s">
        <v>6</v>
      </c>
      <c r="J897" s="1">
        <v>3</v>
      </c>
      <c r="K897" s="1" t="s">
        <v>7</v>
      </c>
      <c r="R897" t="str">
        <f t="shared" si="56"/>
        <v>Ack</v>
      </c>
    </row>
    <row r="898" spans="1:18" hidden="1" x14ac:dyDescent="0.25">
      <c r="A898" s="3">
        <f t="shared" si="57"/>
        <v>44761.585529374999</v>
      </c>
      <c r="B898" s="8" t="str">
        <f t="shared" si="58"/>
        <v>←</v>
      </c>
      <c r="C898" s="11">
        <f t="shared" si="59"/>
        <v>0.187</v>
      </c>
      <c r="D898" s="2">
        <v>1658203389738</v>
      </c>
      <c r="E898" t="s">
        <v>0</v>
      </c>
      <c r="F898" s="1">
        <v>9</v>
      </c>
      <c r="G898" s="1">
        <v>31</v>
      </c>
      <c r="H898" s="1">
        <v>21</v>
      </c>
      <c r="I898" s="1">
        <v>5</v>
      </c>
      <c r="J898" s="1">
        <v>0</v>
      </c>
      <c r="K898" s="1">
        <v>23</v>
      </c>
      <c r="L898" s="1">
        <v>0</v>
      </c>
      <c r="M898" s="1">
        <v>0</v>
      </c>
      <c r="N898" s="1" t="s">
        <v>8</v>
      </c>
      <c r="O898" s="1">
        <v>20</v>
      </c>
      <c r="R898" t="str">
        <f t="shared" si="56"/>
        <v>FURNACE STATUS REPORT Fan:1 Ignition:1 Burner:0 Unknown:20</v>
      </c>
    </row>
    <row r="899" spans="1:18" hidden="1" x14ac:dyDescent="0.25">
      <c r="A899" s="3">
        <f t="shared" si="57"/>
        <v>44761.585530543984</v>
      </c>
      <c r="B899" s="8" t="str">
        <f t="shared" si="58"/>
        <v>→</v>
      </c>
      <c r="C899" s="11">
        <f t="shared" si="59"/>
        <v>0.10100000000000001</v>
      </c>
      <c r="D899" s="2">
        <v>1658203389839</v>
      </c>
      <c r="E899" t="s">
        <v>0</v>
      </c>
      <c r="F899" s="1">
        <v>5</v>
      </c>
      <c r="G899" s="1">
        <v>21</v>
      </c>
      <c r="H899" s="1">
        <v>31</v>
      </c>
      <c r="I899" s="1" t="s">
        <v>6</v>
      </c>
      <c r="J899" s="1">
        <v>62</v>
      </c>
      <c r="K899" s="1">
        <v>95</v>
      </c>
      <c r="R899" t="str">
        <f t="shared" ref="R899:R962" si="60">IF(E899="Ok",_xlfn.SWITCH(I899,5,"FURNACE STATUS REPORT Fan:"&amp;IF(_xlfn.BITAND(HEX2DEC(K899),1),"1","0")&amp;" Ignition:"&amp;IF(_xlfn.BITAND(HEX2DEC(K899),2),"1","0")&amp;" Burner:"&amp;IF(_xlfn.BITAND(HEX2DEC(K899),4),"1","0")&amp;" Unknown:"&amp;DEC2HEX(_xlfn.BITAND(HEX2DEC(K899),248)),6,"FURNACE STATUS REQUEST",7,"TIME "&amp;HEX2DEC(J899)&amp;":"&amp;HEX2DEC(K899)&amp;" "&amp;CHOOSE(L899+1,"Mon","Tue","Wed","Thu","Fri","Sat","Sun"),9,"PING FURNACE","0B","TEMPERATURE INFO Set:"&amp;HEX2DEC(K899)&amp;" Actual:"&amp;HEX2DEC(L899)/2&amp;" Countdown:"&amp;HEX2DEC(N899),29,"LONG PING FURNACE","FB","FURNACE STATUS RESPONSE Fan:"&amp;IF(_xlfn.BITAND(HEX2DEC(K899),1),"1","0")&amp;" Ignition:"&amp;IF(_xlfn.BITAND(HEX2DEC(K899),2),"1","0")&amp;" Burner:"&amp;IF(_xlfn.BITAND(HEX2DEC(K899),4),"1","0")&amp;" Unknown:"&amp;DEC2HEX(_xlfn.BITAND(HEX2DEC(K899),248)),"FF","Ack"),"")</f>
        <v>Ack</v>
      </c>
    </row>
    <row r="900" spans="1:18" hidden="1" x14ac:dyDescent="0.25">
      <c r="A900" s="3">
        <f t="shared" si="57"/>
        <v>44761.585700358795</v>
      </c>
      <c r="B900" s="8" t="str">
        <f t="shared" si="58"/>
        <v>←</v>
      </c>
      <c r="C900" s="11">
        <f t="shared" si="59"/>
        <v>14.672000000000001</v>
      </c>
      <c r="D900" s="2">
        <v>1658203404511</v>
      </c>
      <c r="E900" t="s">
        <v>0</v>
      </c>
      <c r="F900" s="1">
        <v>9</v>
      </c>
      <c r="G900" s="1">
        <v>31</v>
      </c>
      <c r="H900" s="1">
        <v>21</v>
      </c>
      <c r="I900" s="1">
        <v>5</v>
      </c>
      <c r="J900" s="1">
        <v>0</v>
      </c>
      <c r="K900" s="1">
        <v>33</v>
      </c>
      <c r="L900" s="1">
        <v>0</v>
      </c>
      <c r="M900" s="1">
        <v>0</v>
      </c>
      <c r="N900" s="1">
        <v>58</v>
      </c>
      <c r="O900" s="1">
        <v>63</v>
      </c>
      <c r="R900" t="str">
        <f t="shared" si="60"/>
        <v>FURNACE STATUS REPORT Fan:1 Ignition:1 Burner:0 Unknown:30</v>
      </c>
    </row>
    <row r="901" spans="1:18" hidden="1" x14ac:dyDescent="0.25">
      <c r="A901" s="3">
        <f t="shared" si="57"/>
        <v>44761.585701412034</v>
      </c>
      <c r="B901" s="8" t="str">
        <f t="shared" si="58"/>
        <v>→</v>
      </c>
      <c r="C901" s="11">
        <f t="shared" si="59"/>
        <v>9.0999999999999998E-2</v>
      </c>
      <c r="D901" s="2">
        <v>1658203404602</v>
      </c>
      <c r="E901" t="s">
        <v>0</v>
      </c>
      <c r="F901" s="1">
        <v>5</v>
      </c>
      <c r="G901" s="1">
        <v>21</v>
      </c>
      <c r="H901" s="1">
        <v>31</v>
      </c>
      <c r="I901" s="1" t="s">
        <v>6</v>
      </c>
      <c r="J901" s="1">
        <v>62</v>
      </c>
      <c r="K901" s="1">
        <v>95</v>
      </c>
      <c r="R901" t="str">
        <f t="shared" si="60"/>
        <v>Ack</v>
      </c>
    </row>
    <row r="902" spans="1:18" hidden="1" x14ac:dyDescent="0.25">
      <c r="A902" s="3">
        <f t="shared" si="57"/>
        <v>44761.585795497682</v>
      </c>
      <c r="B902" s="8" t="str">
        <f t="shared" si="58"/>
        <v>←</v>
      </c>
      <c r="C902" s="11">
        <f t="shared" si="59"/>
        <v>8.1289999999999996</v>
      </c>
      <c r="D902" s="2">
        <v>1658203412731</v>
      </c>
      <c r="E902" t="s">
        <v>0</v>
      </c>
      <c r="F902" s="1">
        <v>9</v>
      </c>
      <c r="G902" s="1">
        <v>31</v>
      </c>
      <c r="H902" s="1">
        <v>21</v>
      </c>
      <c r="I902" s="1">
        <v>5</v>
      </c>
      <c r="J902" s="1">
        <v>0</v>
      </c>
      <c r="K902" s="1">
        <v>37</v>
      </c>
      <c r="L902" s="1">
        <v>0</v>
      </c>
      <c r="M902" s="1">
        <v>0</v>
      </c>
      <c r="N902" s="1" t="s">
        <v>26</v>
      </c>
      <c r="O902" s="1">
        <v>30</v>
      </c>
      <c r="R902" t="str">
        <f t="shared" si="60"/>
        <v>FURNACE STATUS REPORT Fan:1 Ignition:1 Burner:1 Unknown:30</v>
      </c>
    </row>
    <row r="903" spans="1:18" hidden="1" x14ac:dyDescent="0.25">
      <c r="A903" s="3">
        <f t="shared" si="57"/>
        <v>44761.585796574072</v>
      </c>
      <c r="B903" s="8" t="str">
        <f t="shared" si="58"/>
        <v>→</v>
      </c>
      <c r="C903" s="11">
        <f t="shared" si="59"/>
        <v>9.2999999999999999E-2</v>
      </c>
      <c r="D903" s="2">
        <v>1658203412824</v>
      </c>
      <c r="E903" t="s">
        <v>0</v>
      </c>
      <c r="F903" s="1">
        <v>5</v>
      </c>
      <c r="G903" s="1">
        <v>21</v>
      </c>
      <c r="H903" s="1">
        <v>31</v>
      </c>
      <c r="I903" s="1" t="s">
        <v>6</v>
      </c>
      <c r="J903" s="1">
        <v>62</v>
      </c>
      <c r="K903" s="1">
        <v>95</v>
      </c>
      <c r="R903" t="str">
        <f t="shared" si="60"/>
        <v>Ack</v>
      </c>
    </row>
    <row r="904" spans="1:18" hidden="1" x14ac:dyDescent="0.25">
      <c r="A904" s="3">
        <f t="shared" si="57"/>
        <v>44761.585843148147</v>
      </c>
      <c r="B904" s="8" t="str">
        <f t="shared" si="58"/>
        <v>←</v>
      </c>
      <c r="C904" s="11">
        <f t="shared" si="59"/>
        <v>4.024</v>
      </c>
      <c r="D904" s="2">
        <v>1658203416848</v>
      </c>
      <c r="E904" t="s">
        <v>0</v>
      </c>
      <c r="F904" s="1">
        <v>9</v>
      </c>
      <c r="G904" s="1">
        <v>31</v>
      </c>
      <c r="H904" s="1">
        <v>21</v>
      </c>
      <c r="I904" s="1">
        <v>5</v>
      </c>
      <c r="J904" s="1">
        <v>0</v>
      </c>
      <c r="K904" s="1">
        <v>36</v>
      </c>
      <c r="L904" s="1">
        <v>0</v>
      </c>
      <c r="M904" s="1">
        <v>0</v>
      </c>
      <c r="N904" s="1">
        <v>58</v>
      </c>
      <c r="O904" s="1">
        <v>27</v>
      </c>
      <c r="R904" t="str">
        <f t="shared" si="60"/>
        <v>FURNACE STATUS REPORT Fan:0 Ignition:1 Burner:1 Unknown:30</v>
      </c>
    </row>
    <row r="905" spans="1:18" hidden="1" x14ac:dyDescent="0.25">
      <c r="A905" s="3">
        <f t="shared" si="57"/>
        <v>44761.585844212961</v>
      </c>
      <c r="B905" s="8" t="str">
        <f t="shared" si="58"/>
        <v>→</v>
      </c>
      <c r="C905" s="11">
        <f t="shared" si="59"/>
        <v>9.1999999999999998E-2</v>
      </c>
      <c r="D905" s="2">
        <v>1658203416940</v>
      </c>
      <c r="E905" t="s">
        <v>0</v>
      </c>
      <c r="F905" s="1">
        <v>5</v>
      </c>
      <c r="G905" s="1">
        <v>21</v>
      </c>
      <c r="H905" s="1">
        <v>31</v>
      </c>
      <c r="I905" s="1" t="s">
        <v>6</v>
      </c>
      <c r="J905" s="1">
        <v>62</v>
      </c>
      <c r="K905" s="1">
        <v>95</v>
      </c>
      <c r="R905" t="str">
        <f t="shared" si="60"/>
        <v>Ack</v>
      </c>
    </row>
    <row r="906" spans="1:18" hidden="1" x14ac:dyDescent="0.25">
      <c r="A906" s="3">
        <f t="shared" si="57"/>
        <v>44761.585876134261</v>
      </c>
      <c r="B906" s="8" t="str">
        <f t="shared" si="58"/>
        <v>→</v>
      </c>
      <c r="C906" s="11">
        <f t="shared" si="59"/>
        <v>2.758</v>
      </c>
      <c r="D906" s="2">
        <v>1658203419698</v>
      </c>
      <c r="E906" t="s">
        <v>0</v>
      </c>
      <c r="F906" s="1">
        <v>8</v>
      </c>
      <c r="G906" s="1">
        <v>21</v>
      </c>
      <c r="H906" s="1">
        <v>31</v>
      </c>
      <c r="I906" s="1">
        <v>7</v>
      </c>
      <c r="J906" s="1" t="s">
        <v>70</v>
      </c>
      <c r="K906" s="1" t="s">
        <v>61</v>
      </c>
      <c r="L906" s="1">
        <v>1</v>
      </c>
      <c r="M906" s="1">
        <v>8</v>
      </c>
      <c r="N906" s="1" t="s">
        <v>109</v>
      </c>
      <c r="R906" t="str">
        <f t="shared" si="60"/>
        <v>TIME 13:58 Tue</v>
      </c>
    </row>
    <row r="907" spans="1:18" hidden="1" x14ac:dyDescent="0.25">
      <c r="A907" s="3">
        <f t="shared" si="57"/>
        <v>44761.5858777662</v>
      </c>
      <c r="B907" s="8" t="str">
        <f t="shared" si="58"/>
        <v>←</v>
      </c>
      <c r="C907" s="11">
        <f t="shared" si="59"/>
        <v>0.14099999999999999</v>
      </c>
      <c r="D907" s="2">
        <v>1658203419839</v>
      </c>
      <c r="E907" t="s">
        <v>0</v>
      </c>
      <c r="F907" s="1">
        <v>5</v>
      </c>
      <c r="G907" s="1">
        <v>31</v>
      </c>
      <c r="H907" s="1">
        <v>21</v>
      </c>
      <c r="I907" s="1" t="s">
        <v>6</v>
      </c>
      <c r="J907" s="1">
        <v>3</v>
      </c>
      <c r="K907" s="1" t="s">
        <v>7</v>
      </c>
      <c r="R907" t="str">
        <f t="shared" si="60"/>
        <v>Ack</v>
      </c>
    </row>
    <row r="908" spans="1:18" hidden="1" x14ac:dyDescent="0.25">
      <c r="A908" s="3">
        <f t="shared" si="57"/>
        <v>44761.585879050923</v>
      </c>
      <c r="B908" s="8" t="str">
        <f t="shared" si="58"/>
        <v>→</v>
      </c>
      <c r="C908" s="11">
        <f t="shared" si="59"/>
        <v>0.111</v>
      </c>
      <c r="D908" s="2">
        <v>1658203419950</v>
      </c>
      <c r="E908" t="s">
        <v>0</v>
      </c>
      <c r="F908" s="1">
        <v>5</v>
      </c>
      <c r="G908" s="1">
        <v>21</v>
      </c>
      <c r="H908" s="1">
        <v>31</v>
      </c>
      <c r="I908" s="1">
        <v>9</v>
      </c>
      <c r="J908" s="1">
        <v>60</v>
      </c>
      <c r="K908" s="1" t="s">
        <v>11</v>
      </c>
      <c r="R908" t="str">
        <f t="shared" si="60"/>
        <v>PING FURNACE</v>
      </c>
    </row>
    <row r="909" spans="1:18" hidden="1" x14ac:dyDescent="0.25">
      <c r="A909" s="3">
        <f t="shared" si="57"/>
        <v>44761.585880439809</v>
      </c>
      <c r="B909" s="8" t="str">
        <f t="shared" si="58"/>
        <v>←</v>
      </c>
      <c r="C909" s="11">
        <f t="shared" si="59"/>
        <v>0.12</v>
      </c>
      <c r="D909" s="2">
        <v>1658203420070</v>
      </c>
      <c r="E909" t="s">
        <v>0</v>
      </c>
      <c r="F909" s="1">
        <v>5</v>
      </c>
      <c r="G909" s="1">
        <v>31</v>
      </c>
      <c r="H909" s="1">
        <v>21</v>
      </c>
      <c r="I909" s="1" t="s">
        <v>6</v>
      </c>
      <c r="J909" s="1">
        <v>3</v>
      </c>
      <c r="K909" s="1" t="s">
        <v>7</v>
      </c>
      <c r="R909" t="str">
        <f t="shared" si="60"/>
        <v>Ack</v>
      </c>
    </row>
    <row r="910" spans="1:18" hidden="1" x14ac:dyDescent="0.25">
      <c r="A910" s="3">
        <f t="shared" si="57"/>
        <v>44761.585882199077</v>
      </c>
      <c r="B910" s="8" t="str">
        <f t="shared" si="58"/>
        <v>→</v>
      </c>
      <c r="C910" s="11">
        <f t="shared" si="59"/>
        <v>0.152</v>
      </c>
      <c r="D910" s="2">
        <v>1658203420222</v>
      </c>
      <c r="E910" t="s">
        <v>0</v>
      </c>
      <c r="F910" s="1" t="s">
        <v>3</v>
      </c>
      <c r="G910" s="1">
        <v>21</v>
      </c>
      <c r="H910" s="1">
        <v>31</v>
      </c>
      <c r="I910" s="1" t="s">
        <v>3</v>
      </c>
      <c r="J910" s="1" t="s">
        <v>6</v>
      </c>
      <c r="K910" s="1">
        <v>12</v>
      </c>
      <c r="L910" s="1">
        <v>24</v>
      </c>
      <c r="M910" s="1">
        <v>1</v>
      </c>
      <c r="N910" s="1">
        <v>96</v>
      </c>
      <c r="O910" s="1">
        <v>0</v>
      </c>
      <c r="P910" s="1" t="s">
        <v>96</v>
      </c>
      <c r="Q910" s="1">
        <v>78</v>
      </c>
      <c r="R910" t="str">
        <f t="shared" si="60"/>
        <v>TEMPERATURE INFO Set:18 Actual:18 Countdown:150</v>
      </c>
    </row>
    <row r="911" spans="1:18" hidden="1" x14ac:dyDescent="0.25">
      <c r="A911" s="3">
        <f t="shared" si="57"/>
        <v>44761.585884062493</v>
      </c>
      <c r="B911" s="8" t="str">
        <f t="shared" si="58"/>
        <v>←</v>
      </c>
      <c r="C911" s="11">
        <f t="shared" si="59"/>
        <v>0.161</v>
      </c>
      <c r="D911" s="2">
        <v>1658203420383</v>
      </c>
      <c r="E911" t="s">
        <v>0</v>
      </c>
      <c r="F911" s="1">
        <v>5</v>
      </c>
      <c r="G911" s="1">
        <v>31</v>
      </c>
      <c r="H911" s="1">
        <v>21</v>
      </c>
      <c r="I911" s="1" t="s">
        <v>6</v>
      </c>
      <c r="J911" s="1">
        <v>3</v>
      </c>
      <c r="K911" s="1" t="s">
        <v>7</v>
      </c>
      <c r="R911" t="str">
        <f t="shared" si="60"/>
        <v>Ack</v>
      </c>
    </row>
    <row r="912" spans="1:18" x14ac:dyDescent="0.25">
      <c r="A912" s="3">
        <f t="shared" si="57"/>
        <v>44761.585885127315</v>
      </c>
      <c r="B912" s="8" t="str">
        <f t="shared" si="58"/>
        <v>→</v>
      </c>
      <c r="C912" s="11">
        <f t="shared" si="59"/>
        <v>9.1999999999999998E-2</v>
      </c>
      <c r="D912" s="2">
        <v>1658203420475</v>
      </c>
      <c r="E912" t="s">
        <v>0</v>
      </c>
      <c r="F912" s="1">
        <v>6</v>
      </c>
      <c r="G912" s="1">
        <v>21</v>
      </c>
      <c r="H912" s="1">
        <v>31</v>
      </c>
      <c r="I912" s="1">
        <v>29</v>
      </c>
      <c r="J912" s="1">
        <v>0</v>
      </c>
      <c r="K912" s="1" t="s">
        <v>13</v>
      </c>
      <c r="L912" s="1" t="s">
        <v>14</v>
      </c>
      <c r="R912" t="str">
        <f t="shared" si="60"/>
        <v>LONG PING FURNACE</v>
      </c>
    </row>
    <row r="913" spans="1:18" hidden="1" x14ac:dyDescent="0.25">
      <c r="A913" s="3">
        <f t="shared" si="57"/>
        <v>44761.58588702546</v>
      </c>
      <c r="B913" s="8" t="str">
        <f t="shared" si="58"/>
        <v>←</v>
      </c>
      <c r="C913" s="11">
        <f t="shared" si="59"/>
        <v>0.16400000000000001</v>
      </c>
      <c r="D913" s="2">
        <v>1658203420639</v>
      </c>
      <c r="E913" t="s">
        <v>0</v>
      </c>
      <c r="F913" s="1">
        <v>5</v>
      </c>
      <c r="G913" s="1">
        <v>31</v>
      </c>
      <c r="H913" s="1">
        <v>21</v>
      </c>
      <c r="I913" s="1" t="s">
        <v>6</v>
      </c>
      <c r="J913" s="1">
        <v>3</v>
      </c>
      <c r="K913" s="1" t="s">
        <v>7</v>
      </c>
      <c r="R913" t="str">
        <f t="shared" si="60"/>
        <v>Ack</v>
      </c>
    </row>
    <row r="914" spans="1:18" hidden="1" x14ac:dyDescent="0.25">
      <c r="A914" s="3">
        <f t="shared" si="57"/>
        <v>44761.585887928239</v>
      </c>
      <c r="B914" s="8" t="str">
        <f t="shared" si="58"/>
        <v>→</v>
      </c>
      <c r="C914" s="11">
        <f t="shared" si="59"/>
        <v>7.8E-2</v>
      </c>
      <c r="D914" s="2">
        <v>1658203420717</v>
      </c>
      <c r="E914" t="s">
        <v>0</v>
      </c>
      <c r="F914" s="1">
        <v>5</v>
      </c>
      <c r="G914" s="1">
        <v>21</v>
      </c>
      <c r="H914" s="1">
        <v>31</v>
      </c>
      <c r="I914" s="1">
        <v>6</v>
      </c>
      <c r="J914" s="1">
        <v>60</v>
      </c>
      <c r="K914" s="1">
        <v>83</v>
      </c>
      <c r="R914" t="str">
        <f t="shared" si="60"/>
        <v>FURNACE STATUS REQUEST</v>
      </c>
    </row>
    <row r="915" spans="1:18" hidden="1" x14ac:dyDescent="0.25">
      <c r="A915" s="3">
        <f t="shared" si="57"/>
        <v>44761.585889918984</v>
      </c>
      <c r="B915" s="8" t="str">
        <f t="shared" si="58"/>
        <v>←</v>
      </c>
      <c r="C915" s="11">
        <f t="shared" si="59"/>
        <v>0.17199999999999999</v>
      </c>
      <c r="D915" s="2">
        <v>1658203420889</v>
      </c>
      <c r="E915" t="s">
        <v>0</v>
      </c>
      <c r="F915" s="1">
        <v>9</v>
      </c>
      <c r="G915" s="1">
        <v>31</v>
      </c>
      <c r="H915" s="1">
        <v>21</v>
      </c>
      <c r="I915" s="1" t="s">
        <v>1</v>
      </c>
      <c r="J915" s="1">
        <v>0</v>
      </c>
      <c r="K915" s="1">
        <v>26</v>
      </c>
      <c r="L915" s="1">
        <v>0</v>
      </c>
      <c r="M915" s="1">
        <v>0</v>
      </c>
      <c r="N915" s="1">
        <v>71</v>
      </c>
      <c r="O915" s="1">
        <v>37</v>
      </c>
      <c r="R915" t="str">
        <f t="shared" si="60"/>
        <v>FURNACE STATUS RESPONSE Fan:0 Ignition:1 Burner:1 Unknown:20</v>
      </c>
    </row>
    <row r="916" spans="1:18" hidden="1" x14ac:dyDescent="0.25">
      <c r="A916" s="3">
        <f t="shared" si="57"/>
        <v>44761.58589229166</v>
      </c>
      <c r="B916" s="8" t="str">
        <f t="shared" si="58"/>
        <v>←</v>
      </c>
      <c r="C916" s="11">
        <f t="shared" si="59"/>
        <v>0.20499999999999999</v>
      </c>
      <c r="D916" s="2">
        <v>1658203421094</v>
      </c>
      <c r="E916" t="s">
        <v>0</v>
      </c>
      <c r="F916" s="1">
        <v>9</v>
      </c>
      <c r="G916" s="1">
        <v>31</v>
      </c>
      <c r="H916" s="1">
        <v>21</v>
      </c>
      <c r="I916" s="1">
        <v>5</v>
      </c>
      <c r="J916" s="1">
        <v>0</v>
      </c>
      <c r="K916" s="1">
        <v>26</v>
      </c>
      <c r="L916" s="1">
        <v>0</v>
      </c>
      <c r="M916" s="1">
        <v>0</v>
      </c>
      <c r="N916" s="1" t="s">
        <v>8</v>
      </c>
      <c r="O916" s="1">
        <v>64</v>
      </c>
      <c r="R916" t="str">
        <f t="shared" si="60"/>
        <v>FURNACE STATUS REPORT Fan:0 Ignition:1 Burner:1 Unknown:20</v>
      </c>
    </row>
    <row r="917" spans="1:18" hidden="1" x14ac:dyDescent="0.25">
      <c r="A917" s="3">
        <f t="shared" si="57"/>
        <v>44761.585893090276</v>
      </c>
      <c r="B917" s="8" t="str">
        <f t="shared" si="58"/>
        <v>→</v>
      </c>
      <c r="C917" s="11">
        <f t="shared" si="59"/>
        <v>6.9000000000000006E-2</v>
      </c>
      <c r="D917" s="2">
        <v>1658203421163</v>
      </c>
      <c r="E917" t="s">
        <v>0</v>
      </c>
      <c r="F917" s="1">
        <v>5</v>
      </c>
      <c r="G917" s="1">
        <v>21</v>
      </c>
      <c r="H917" s="1">
        <v>31</v>
      </c>
      <c r="I917" s="1" t="s">
        <v>6</v>
      </c>
      <c r="J917" s="1">
        <v>62</v>
      </c>
      <c r="K917" s="1">
        <v>95</v>
      </c>
      <c r="R917" t="str">
        <f t="shared" si="60"/>
        <v>Ack</v>
      </c>
    </row>
    <row r="918" spans="1:18" hidden="1" x14ac:dyDescent="0.25">
      <c r="A918" s="3">
        <f t="shared" si="57"/>
        <v>44761.58595862268</v>
      </c>
      <c r="B918" s="8" t="str">
        <f t="shared" si="58"/>
        <v>←</v>
      </c>
      <c r="C918" s="11">
        <f t="shared" si="59"/>
        <v>5.6619999999999999</v>
      </c>
      <c r="D918" s="2">
        <v>1658203426825</v>
      </c>
      <c r="E918" t="s">
        <v>0</v>
      </c>
      <c r="F918" s="1">
        <v>9</v>
      </c>
      <c r="G918" s="1">
        <v>31</v>
      </c>
      <c r="H918" s="1">
        <v>21</v>
      </c>
      <c r="I918" s="1">
        <v>5</v>
      </c>
      <c r="J918" s="1">
        <v>0</v>
      </c>
      <c r="K918" s="1">
        <v>27</v>
      </c>
      <c r="L918" s="1">
        <v>0</v>
      </c>
      <c r="M918" s="1">
        <v>0</v>
      </c>
      <c r="N918" s="1">
        <v>59</v>
      </c>
      <c r="O918" s="1">
        <v>73</v>
      </c>
      <c r="R918" t="str">
        <f t="shared" si="60"/>
        <v>FURNACE STATUS REPORT Fan:1 Ignition:1 Burner:1 Unknown:20</v>
      </c>
    </row>
    <row r="919" spans="1:18" hidden="1" x14ac:dyDescent="0.25">
      <c r="A919" s="3">
        <f t="shared" si="57"/>
        <v>44761.585959722222</v>
      </c>
      <c r="B919" s="8" t="str">
        <f t="shared" si="58"/>
        <v>→</v>
      </c>
      <c r="C919" s="11">
        <f t="shared" si="59"/>
        <v>9.5000000000000001E-2</v>
      </c>
      <c r="D919" s="2">
        <v>1658203426920</v>
      </c>
      <c r="E919" t="s">
        <v>0</v>
      </c>
      <c r="F919" s="1">
        <v>5</v>
      </c>
      <c r="G919" s="1">
        <v>21</v>
      </c>
      <c r="H919" s="1">
        <v>31</v>
      </c>
      <c r="I919" s="1" t="s">
        <v>6</v>
      </c>
      <c r="J919" s="1">
        <v>62</v>
      </c>
      <c r="K919" s="1">
        <v>95</v>
      </c>
      <c r="R919" t="str">
        <f t="shared" si="60"/>
        <v>Ack</v>
      </c>
    </row>
    <row r="920" spans="1:18" hidden="1" x14ac:dyDescent="0.25">
      <c r="A920" s="3">
        <f t="shared" si="57"/>
        <v>44761.586570694439</v>
      </c>
      <c r="B920" s="8" t="str">
        <f t="shared" si="58"/>
        <v>→</v>
      </c>
      <c r="C920" s="11">
        <f t="shared" si="59"/>
        <v>52.787999999999997</v>
      </c>
      <c r="D920" s="2">
        <v>1658203479708</v>
      </c>
      <c r="E920" t="s">
        <v>0</v>
      </c>
      <c r="F920" s="1">
        <v>8</v>
      </c>
      <c r="G920" s="1">
        <v>21</v>
      </c>
      <c r="H920" s="1">
        <v>31</v>
      </c>
      <c r="I920" s="1">
        <v>7</v>
      </c>
      <c r="J920" s="1" t="s">
        <v>70</v>
      </c>
      <c r="K920" s="1" t="s">
        <v>62</v>
      </c>
      <c r="L920" s="1">
        <v>1</v>
      </c>
      <c r="M920" s="1" t="s">
        <v>63</v>
      </c>
      <c r="N920" s="1" t="s">
        <v>57</v>
      </c>
      <c r="R920" t="str">
        <f t="shared" si="60"/>
        <v>TIME 13:59 Tue</v>
      </c>
    </row>
    <row r="921" spans="1:18" hidden="1" x14ac:dyDescent="0.25">
      <c r="A921" s="3">
        <f t="shared" si="57"/>
        <v>44761.58657206018</v>
      </c>
      <c r="B921" s="8" t="str">
        <f t="shared" si="58"/>
        <v>←</v>
      </c>
      <c r="C921" s="11">
        <f t="shared" si="59"/>
        <v>0.11799999999999999</v>
      </c>
      <c r="D921" s="2">
        <v>1658203479826</v>
      </c>
      <c r="E921" t="s">
        <v>0</v>
      </c>
      <c r="F921" s="1">
        <v>5</v>
      </c>
      <c r="G921" s="1">
        <v>31</v>
      </c>
      <c r="H921" s="1">
        <v>21</v>
      </c>
      <c r="I921" s="1" t="s">
        <v>6</v>
      </c>
      <c r="J921" s="1">
        <v>3</v>
      </c>
      <c r="K921" s="1" t="s">
        <v>7</v>
      </c>
      <c r="R921" t="str">
        <f t="shared" si="60"/>
        <v>Ack</v>
      </c>
    </row>
    <row r="922" spans="1:18" hidden="1" x14ac:dyDescent="0.25">
      <c r="A922" s="3">
        <f t="shared" si="57"/>
        <v>44761.586573275461</v>
      </c>
      <c r="B922" s="8" t="str">
        <f t="shared" si="58"/>
        <v>→</v>
      </c>
      <c r="C922" s="11">
        <f t="shared" si="59"/>
        <v>0.105</v>
      </c>
      <c r="D922" s="2">
        <v>1658203479931</v>
      </c>
      <c r="E922" t="s">
        <v>0</v>
      </c>
      <c r="F922" s="1">
        <v>5</v>
      </c>
      <c r="G922" s="1">
        <v>21</v>
      </c>
      <c r="H922" s="1">
        <v>31</v>
      </c>
      <c r="I922" s="1">
        <v>9</v>
      </c>
      <c r="J922" s="1">
        <v>60</v>
      </c>
      <c r="K922" s="1" t="s">
        <v>11</v>
      </c>
      <c r="R922" t="str">
        <f t="shared" si="60"/>
        <v>PING FURNACE</v>
      </c>
    </row>
    <row r="923" spans="1:18" hidden="1" x14ac:dyDescent="0.25">
      <c r="A923" s="3">
        <f t="shared" si="57"/>
        <v>44761.586574687499</v>
      </c>
      <c r="B923" s="8" t="str">
        <f t="shared" si="58"/>
        <v>←</v>
      </c>
      <c r="C923" s="11">
        <f t="shared" si="59"/>
        <v>0.122</v>
      </c>
      <c r="D923" s="2">
        <v>1658203480053</v>
      </c>
      <c r="E923" t="s">
        <v>0</v>
      </c>
      <c r="F923" s="1">
        <v>5</v>
      </c>
      <c r="G923" s="1">
        <v>31</v>
      </c>
      <c r="H923" s="1">
        <v>21</v>
      </c>
      <c r="I923" s="1" t="s">
        <v>6</v>
      </c>
      <c r="J923" s="1">
        <v>3</v>
      </c>
      <c r="K923" s="1" t="s">
        <v>7</v>
      </c>
      <c r="R923" t="str">
        <f t="shared" si="60"/>
        <v>Ack</v>
      </c>
    </row>
    <row r="924" spans="1:18" hidden="1" x14ac:dyDescent="0.25">
      <c r="A924" s="3">
        <f t="shared" si="57"/>
        <v>44761.586576273148</v>
      </c>
      <c r="B924" s="8" t="str">
        <f t="shared" si="58"/>
        <v>→</v>
      </c>
      <c r="C924" s="11">
        <f t="shared" si="59"/>
        <v>0.13700000000000001</v>
      </c>
      <c r="D924" s="2">
        <v>1658203480190</v>
      </c>
      <c r="E924" t="s">
        <v>0</v>
      </c>
      <c r="F924" s="1" t="s">
        <v>3</v>
      </c>
      <c r="G924" s="1">
        <v>21</v>
      </c>
      <c r="H924" s="1">
        <v>31</v>
      </c>
      <c r="I924" s="1" t="s">
        <v>3</v>
      </c>
      <c r="J924" s="1" t="s">
        <v>6</v>
      </c>
      <c r="K924" s="1">
        <v>12</v>
      </c>
      <c r="L924" s="1">
        <v>24</v>
      </c>
      <c r="M924" s="1">
        <v>1</v>
      </c>
      <c r="N924" s="1" t="s">
        <v>91</v>
      </c>
      <c r="O924" s="1">
        <v>0</v>
      </c>
      <c r="P924" s="1" t="s">
        <v>64</v>
      </c>
      <c r="Q924" s="1">
        <v>77</v>
      </c>
      <c r="R924" t="str">
        <f t="shared" si="60"/>
        <v>TEMPERATURE INFO Set:18 Actual:18 Countdown:90</v>
      </c>
    </row>
    <row r="925" spans="1:18" hidden="1" x14ac:dyDescent="0.25">
      <c r="A925" s="3">
        <f t="shared" si="57"/>
        <v>44761.586577766204</v>
      </c>
      <c r="B925" s="8" t="str">
        <f t="shared" si="58"/>
        <v>←</v>
      </c>
      <c r="C925" s="11">
        <f t="shared" si="59"/>
        <v>0.129</v>
      </c>
      <c r="D925" s="2">
        <v>1658203480319</v>
      </c>
      <c r="E925" t="s">
        <v>0</v>
      </c>
      <c r="F925" s="1">
        <v>5</v>
      </c>
      <c r="G925" s="1">
        <v>31</v>
      </c>
      <c r="H925" s="1">
        <v>21</v>
      </c>
      <c r="I925" s="1" t="s">
        <v>6</v>
      </c>
      <c r="J925" s="1">
        <v>3</v>
      </c>
      <c r="K925" s="1" t="s">
        <v>7</v>
      </c>
      <c r="R925" t="str">
        <f t="shared" si="60"/>
        <v>Ack</v>
      </c>
    </row>
    <row r="926" spans="1:18" x14ac:dyDescent="0.25">
      <c r="A926" s="3">
        <f t="shared" si="57"/>
        <v>44761.586579201386</v>
      </c>
      <c r="B926" s="8" t="str">
        <f t="shared" si="58"/>
        <v>→</v>
      </c>
      <c r="C926" s="11">
        <f t="shared" si="59"/>
        <v>0.124</v>
      </c>
      <c r="D926" s="2">
        <v>1658203480443</v>
      </c>
      <c r="E926" t="s">
        <v>0</v>
      </c>
      <c r="F926" s="1">
        <v>6</v>
      </c>
      <c r="G926" s="1">
        <v>21</v>
      </c>
      <c r="H926" s="1">
        <v>31</v>
      </c>
      <c r="I926" s="1">
        <v>29</v>
      </c>
      <c r="J926" s="1">
        <v>0</v>
      </c>
      <c r="K926" s="1" t="s">
        <v>13</v>
      </c>
      <c r="L926" s="1" t="s">
        <v>14</v>
      </c>
      <c r="R926" t="str">
        <f t="shared" si="60"/>
        <v>LONG PING FURNACE</v>
      </c>
    </row>
    <row r="927" spans="1:18" hidden="1" x14ac:dyDescent="0.25">
      <c r="A927" s="3">
        <f t="shared" si="57"/>
        <v>44761.586580451381</v>
      </c>
      <c r="B927" s="8" t="str">
        <f t="shared" si="58"/>
        <v>←</v>
      </c>
      <c r="C927" s="11">
        <f t="shared" si="59"/>
        <v>0.108</v>
      </c>
      <c r="D927" s="2">
        <v>1658203480551</v>
      </c>
      <c r="E927" t="s">
        <v>0</v>
      </c>
      <c r="F927" s="1">
        <v>5</v>
      </c>
      <c r="G927" s="1">
        <v>31</v>
      </c>
      <c r="H927" s="1">
        <v>21</v>
      </c>
      <c r="I927" s="1" t="s">
        <v>6</v>
      </c>
      <c r="J927" s="1">
        <v>3</v>
      </c>
      <c r="K927" s="1" t="s">
        <v>7</v>
      </c>
      <c r="R927" t="str">
        <f t="shared" si="60"/>
        <v>Ack</v>
      </c>
    </row>
    <row r="928" spans="1:18" hidden="1" x14ac:dyDescent="0.25">
      <c r="A928" s="3">
        <f t="shared" si="57"/>
        <v>44761.586581469906</v>
      </c>
      <c r="B928" s="8" t="str">
        <f t="shared" si="58"/>
        <v>→</v>
      </c>
      <c r="C928" s="11">
        <f t="shared" si="59"/>
        <v>8.7999999999999995E-2</v>
      </c>
      <c r="D928" s="2">
        <v>1658203480639</v>
      </c>
      <c r="E928" t="s">
        <v>0</v>
      </c>
      <c r="F928" s="1">
        <v>5</v>
      </c>
      <c r="G928" s="1">
        <v>21</v>
      </c>
      <c r="H928" s="1">
        <v>31</v>
      </c>
      <c r="I928" s="1">
        <v>6</v>
      </c>
      <c r="J928" s="1">
        <v>60</v>
      </c>
      <c r="K928" s="1">
        <v>83</v>
      </c>
      <c r="R928" t="str">
        <f t="shared" si="60"/>
        <v>FURNACE STATUS REQUEST</v>
      </c>
    </row>
    <row r="929" spans="1:18" hidden="1" x14ac:dyDescent="0.25">
      <c r="A929" s="3">
        <f t="shared" si="57"/>
        <v>44761.586583263888</v>
      </c>
      <c r="B929" s="8" t="str">
        <f t="shared" si="58"/>
        <v>←</v>
      </c>
      <c r="C929" s="11">
        <f t="shared" si="59"/>
        <v>0.155</v>
      </c>
      <c r="D929" s="2">
        <v>1658203480794</v>
      </c>
      <c r="E929" t="s">
        <v>0</v>
      </c>
      <c r="F929" s="1">
        <v>9</v>
      </c>
      <c r="G929" s="1">
        <v>31</v>
      </c>
      <c r="H929" s="1">
        <v>21</v>
      </c>
      <c r="I929" s="1" t="s">
        <v>1</v>
      </c>
      <c r="J929" s="1">
        <v>0</v>
      </c>
      <c r="K929" s="1">
        <v>27</v>
      </c>
      <c r="L929" s="1">
        <v>0</v>
      </c>
      <c r="M929" s="1">
        <v>0</v>
      </c>
      <c r="N929" s="1" t="s">
        <v>2</v>
      </c>
      <c r="O929" s="1">
        <v>20</v>
      </c>
      <c r="R929" t="str">
        <f t="shared" si="60"/>
        <v>FURNACE STATUS RESPONSE Fan:1 Ignition:1 Burner:1 Unknown:20</v>
      </c>
    </row>
    <row r="930" spans="1:18" hidden="1" x14ac:dyDescent="0.25">
      <c r="A930" s="3">
        <f t="shared" ref="A930:A993" si="61">D930/(1000*60*60*24)+25569+10/24</f>
        <v>44761.587265185182</v>
      </c>
      <c r="B930" s="8" t="str">
        <f t="shared" ref="B930:B993" si="62">IF(AND(G930=21,H930=31),"→",IF(AND(G930=31,H930=21),"←","Error"))</f>
        <v>→</v>
      </c>
      <c r="C930" s="11">
        <f t="shared" ref="C930:C993" si="63">(D930-D929)/1000</f>
        <v>58.917999999999999</v>
      </c>
      <c r="D930" s="2">
        <v>1658203539712</v>
      </c>
      <c r="E930" t="s">
        <v>0</v>
      </c>
      <c r="F930" s="1">
        <v>8</v>
      </c>
      <c r="G930" s="1">
        <v>21</v>
      </c>
      <c r="H930" s="1">
        <v>31</v>
      </c>
      <c r="I930" s="1">
        <v>7</v>
      </c>
      <c r="J930" s="1" t="s">
        <v>72</v>
      </c>
      <c r="K930" s="1">
        <v>0</v>
      </c>
      <c r="L930" s="1">
        <v>1</v>
      </c>
      <c r="M930" s="1">
        <v>94</v>
      </c>
      <c r="N930" s="1">
        <v>87</v>
      </c>
      <c r="R930" t="str">
        <f t="shared" si="60"/>
        <v>TIME 14:0 Tue</v>
      </c>
    </row>
    <row r="931" spans="1:18" hidden="1" x14ac:dyDescent="0.25">
      <c r="A931" s="3">
        <f t="shared" si="61"/>
        <v>44761.587266504626</v>
      </c>
      <c r="B931" s="8" t="str">
        <f t="shared" si="62"/>
        <v>←</v>
      </c>
      <c r="C931" s="11">
        <f t="shared" si="63"/>
        <v>0.114</v>
      </c>
      <c r="D931" s="2">
        <v>1658203539826</v>
      </c>
      <c r="E931" t="s">
        <v>0</v>
      </c>
      <c r="F931" s="1">
        <v>5</v>
      </c>
      <c r="G931" s="1">
        <v>31</v>
      </c>
      <c r="H931" s="1">
        <v>21</v>
      </c>
      <c r="I931" s="1" t="s">
        <v>6</v>
      </c>
      <c r="J931" s="1">
        <v>3</v>
      </c>
      <c r="K931" s="1" t="s">
        <v>7</v>
      </c>
      <c r="R931" t="str">
        <f t="shared" si="60"/>
        <v>Ack</v>
      </c>
    </row>
    <row r="932" spans="1:18" hidden="1" x14ac:dyDescent="0.25">
      <c r="A932" s="3">
        <f t="shared" si="61"/>
        <v>44761.587267858798</v>
      </c>
      <c r="B932" s="8" t="str">
        <f t="shared" si="62"/>
        <v>→</v>
      </c>
      <c r="C932" s="11">
        <f t="shared" si="63"/>
        <v>0.11700000000000001</v>
      </c>
      <c r="D932" s="2">
        <v>1658203539943</v>
      </c>
      <c r="E932" t="s">
        <v>0</v>
      </c>
      <c r="F932" s="1">
        <v>5</v>
      </c>
      <c r="G932" s="1">
        <v>21</v>
      </c>
      <c r="H932" s="1">
        <v>31</v>
      </c>
      <c r="I932" s="1">
        <v>9</v>
      </c>
      <c r="J932" s="1">
        <v>60</v>
      </c>
      <c r="K932" s="1" t="s">
        <v>11</v>
      </c>
      <c r="R932" t="str">
        <f t="shared" si="60"/>
        <v>PING FURNACE</v>
      </c>
    </row>
    <row r="933" spans="1:18" hidden="1" x14ac:dyDescent="0.25">
      <c r="A933" s="3">
        <f t="shared" si="61"/>
        <v>44761.587269178235</v>
      </c>
      <c r="B933" s="8" t="str">
        <f t="shared" si="62"/>
        <v>←</v>
      </c>
      <c r="C933" s="11">
        <f t="shared" si="63"/>
        <v>0.114</v>
      </c>
      <c r="D933" s="2">
        <v>1658203540057</v>
      </c>
      <c r="E933" t="s">
        <v>0</v>
      </c>
      <c r="F933" s="1">
        <v>5</v>
      </c>
      <c r="G933" s="1">
        <v>31</v>
      </c>
      <c r="H933" s="1">
        <v>21</v>
      </c>
      <c r="I933" s="1" t="s">
        <v>6</v>
      </c>
      <c r="J933" s="1">
        <v>3</v>
      </c>
      <c r="K933" s="1" t="s">
        <v>7</v>
      </c>
      <c r="R933" t="str">
        <f t="shared" si="60"/>
        <v>Ack</v>
      </c>
    </row>
    <row r="934" spans="1:18" hidden="1" x14ac:dyDescent="0.25">
      <c r="A934" s="3">
        <f t="shared" si="61"/>
        <v>44761.587270879631</v>
      </c>
      <c r="B934" s="8" t="str">
        <f t="shared" si="62"/>
        <v>→</v>
      </c>
      <c r="C934" s="11">
        <f t="shared" si="63"/>
        <v>0.14699999999999999</v>
      </c>
      <c r="D934" s="2">
        <v>1658203540204</v>
      </c>
      <c r="E934" t="s">
        <v>0</v>
      </c>
      <c r="F934" s="1" t="s">
        <v>3</v>
      </c>
      <c r="G934" s="1">
        <v>21</v>
      </c>
      <c r="H934" s="1">
        <v>31</v>
      </c>
      <c r="I934" s="1" t="s">
        <v>3</v>
      </c>
      <c r="J934" s="1" t="s">
        <v>6</v>
      </c>
      <c r="K934" s="1">
        <v>12</v>
      </c>
      <c r="L934" s="1">
        <v>25</v>
      </c>
      <c r="M934" s="1">
        <v>1</v>
      </c>
      <c r="N934" s="1" t="s">
        <v>34</v>
      </c>
      <c r="O934" s="1">
        <v>0</v>
      </c>
      <c r="P934" s="1" t="s">
        <v>93</v>
      </c>
      <c r="Q934" s="1">
        <v>71</v>
      </c>
      <c r="R934" t="str">
        <f t="shared" si="60"/>
        <v>TEMPERATURE INFO Set:18 Actual:18.5 Countdown:30</v>
      </c>
    </row>
    <row r="935" spans="1:18" hidden="1" x14ac:dyDescent="0.25">
      <c r="A935" s="3">
        <f t="shared" si="61"/>
        <v>44761.587272291661</v>
      </c>
      <c r="B935" s="8" t="str">
        <f t="shared" si="62"/>
        <v>←</v>
      </c>
      <c r="C935" s="11">
        <f t="shared" si="63"/>
        <v>0.122</v>
      </c>
      <c r="D935" s="2">
        <v>1658203540326</v>
      </c>
      <c r="E935" t="s">
        <v>0</v>
      </c>
      <c r="F935" s="1">
        <v>5</v>
      </c>
      <c r="G935" s="1">
        <v>31</v>
      </c>
      <c r="H935" s="1">
        <v>21</v>
      </c>
      <c r="I935" s="1" t="s">
        <v>6</v>
      </c>
      <c r="J935" s="1">
        <v>3</v>
      </c>
      <c r="K935" s="1" t="s">
        <v>7</v>
      </c>
      <c r="R935" t="str">
        <f t="shared" si="60"/>
        <v>Ack</v>
      </c>
    </row>
    <row r="936" spans="1:18" x14ac:dyDescent="0.25">
      <c r="A936" s="3">
        <f t="shared" si="61"/>
        <v>44761.587273506942</v>
      </c>
      <c r="B936" s="8" t="str">
        <f t="shared" si="62"/>
        <v>→</v>
      </c>
      <c r="C936" s="11">
        <f t="shared" si="63"/>
        <v>0.105</v>
      </c>
      <c r="D936" s="2">
        <v>1658203540431</v>
      </c>
      <c r="E936" t="s">
        <v>0</v>
      </c>
      <c r="F936" s="1">
        <v>6</v>
      </c>
      <c r="G936" s="1">
        <v>21</v>
      </c>
      <c r="H936" s="1">
        <v>31</v>
      </c>
      <c r="I936" s="1">
        <v>29</v>
      </c>
      <c r="J936" s="1">
        <v>0</v>
      </c>
      <c r="K936" s="1" t="s">
        <v>13</v>
      </c>
      <c r="L936" s="1" t="s">
        <v>14</v>
      </c>
      <c r="R936" t="str">
        <f t="shared" si="60"/>
        <v>LONG PING FURNACE</v>
      </c>
    </row>
    <row r="937" spans="1:18" hidden="1" x14ac:dyDescent="0.25">
      <c r="A937" s="3">
        <f t="shared" si="61"/>
        <v>44761.58727496527</v>
      </c>
      <c r="B937" s="8" t="str">
        <f t="shared" si="62"/>
        <v>←</v>
      </c>
      <c r="C937" s="11">
        <f t="shared" si="63"/>
        <v>0.126</v>
      </c>
      <c r="D937" s="2">
        <v>1658203540557</v>
      </c>
      <c r="E937" t="s">
        <v>0</v>
      </c>
      <c r="F937" s="1">
        <v>5</v>
      </c>
      <c r="G937" s="1">
        <v>31</v>
      </c>
      <c r="H937" s="1">
        <v>21</v>
      </c>
      <c r="I937" s="1" t="s">
        <v>6</v>
      </c>
      <c r="J937" s="1">
        <v>3</v>
      </c>
      <c r="K937" s="1" t="s">
        <v>7</v>
      </c>
      <c r="R937" t="str">
        <f t="shared" si="60"/>
        <v>Ack</v>
      </c>
    </row>
    <row r="938" spans="1:18" hidden="1" x14ac:dyDescent="0.25">
      <c r="A938" s="3">
        <f t="shared" si="61"/>
        <v>44761.587275925922</v>
      </c>
      <c r="B938" s="8" t="str">
        <f t="shared" si="62"/>
        <v>→</v>
      </c>
      <c r="C938" s="11">
        <f t="shared" si="63"/>
        <v>8.3000000000000004E-2</v>
      </c>
      <c r="D938" s="2">
        <v>1658203540640</v>
      </c>
      <c r="E938" t="s">
        <v>0</v>
      </c>
      <c r="F938" s="1">
        <v>5</v>
      </c>
      <c r="G938" s="1">
        <v>21</v>
      </c>
      <c r="H938" s="1">
        <v>31</v>
      </c>
      <c r="I938" s="1">
        <v>6</v>
      </c>
      <c r="J938" s="1">
        <v>60</v>
      </c>
      <c r="K938" s="1">
        <v>83</v>
      </c>
      <c r="R938" t="str">
        <f t="shared" si="60"/>
        <v>FURNACE STATUS REQUEST</v>
      </c>
    </row>
    <row r="939" spans="1:18" hidden="1" x14ac:dyDescent="0.25">
      <c r="A939" s="3">
        <f t="shared" si="61"/>
        <v>44761.587277800929</v>
      </c>
      <c r="B939" s="8" t="str">
        <f t="shared" si="62"/>
        <v>←</v>
      </c>
      <c r="C939" s="11">
        <f t="shared" si="63"/>
        <v>0.16200000000000001</v>
      </c>
      <c r="D939" s="2">
        <v>1658203540802</v>
      </c>
      <c r="E939" t="s">
        <v>0</v>
      </c>
      <c r="F939" s="1">
        <v>9</v>
      </c>
      <c r="G939" s="1">
        <v>31</v>
      </c>
      <c r="H939" s="1">
        <v>21</v>
      </c>
      <c r="I939" s="1" t="s">
        <v>1</v>
      </c>
      <c r="J939" s="1">
        <v>0</v>
      </c>
      <c r="K939" s="1">
        <v>27</v>
      </c>
      <c r="L939" s="1">
        <v>0</v>
      </c>
      <c r="M939" s="1">
        <v>0</v>
      </c>
      <c r="N939" s="1" t="s">
        <v>2</v>
      </c>
      <c r="O939" s="1">
        <v>20</v>
      </c>
      <c r="R939" t="str">
        <f t="shared" si="60"/>
        <v>FURNACE STATUS RESPONSE Fan:1 Ignition:1 Burner:1 Unknown:20</v>
      </c>
    </row>
    <row r="940" spans="1:18" hidden="1" x14ac:dyDescent="0.25">
      <c r="A940" s="3">
        <f t="shared" si="61"/>
        <v>44761.587555381942</v>
      </c>
      <c r="B940" s="8" t="str">
        <f t="shared" si="62"/>
        <v>→</v>
      </c>
      <c r="C940" s="11">
        <f t="shared" si="63"/>
        <v>23.983000000000001</v>
      </c>
      <c r="D940" s="2">
        <v>1658203564785</v>
      </c>
      <c r="E940" t="s">
        <v>0</v>
      </c>
      <c r="F940" s="1" t="s">
        <v>3</v>
      </c>
      <c r="G940" s="1">
        <v>21</v>
      </c>
      <c r="H940" s="1">
        <v>31</v>
      </c>
      <c r="I940" s="1" t="s">
        <v>3</v>
      </c>
      <c r="J940" s="1">
        <v>0</v>
      </c>
      <c r="K940" s="1">
        <v>12</v>
      </c>
      <c r="L940" s="1">
        <v>25</v>
      </c>
      <c r="M940" s="1">
        <v>1</v>
      </c>
      <c r="N940" s="1" t="s">
        <v>4</v>
      </c>
      <c r="O940" s="1">
        <v>0</v>
      </c>
      <c r="P940" s="1" t="s">
        <v>101</v>
      </c>
      <c r="Q940" s="1" t="s">
        <v>108</v>
      </c>
      <c r="R940" t="str">
        <f t="shared" si="60"/>
        <v>TEMPERATURE INFO Set:18 Actual:18.5 Countdown:180</v>
      </c>
    </row>
    <row r="941" spans="1:18" hidden="1" x14ac:dyDescent="0.25">
      <c r="A941" s="3">
        <f t="shared" si="61"/>
        <v>44761.587556655089</v>
      </c>
      <c r="B941" s="8" t="str">
        <f t="shared" si="62"/>
        <v>←</v>
      </c>
      <c r="C941" s="11">
        <f t="shared" si="63"/>
        <v>0.11</v>
      </c>
      <c r="D941" s="2">
        <v>1658203564895</v>
      </c>
      <c r="E941" t="s">
        <v>0</v>
      </c>
      <c r="F941" s="1">
        <v>5</v>
      </c>
      <c r="G941" s="1">
        <v>31</v>
      </c>
      <c r="H941" s="1">
        <v>21</v>
      </c>
      <c r="I941" s="1" t="s">
        <v>6</v>
      </c>
      <c r="J941" s="1">
        <v>3</v>
      </c>
      <c r="K941" s="1" t="s">
        <v>7</v>
      </c>
      <c r="R941" t="str">
        <f t="shared" si="60"/>
        <v>Ack</v>
      </c>
    </row>
    <row r="942" spans="1:18" hidden="1" x14ac:dyDescent="0.25">
      <c r="A942" s="3">
        <f t="shared" si="61"/>
        <v>44761.58755856481</v>
      </c>
      <c r="B942" s="8" t="str">
        <f t="shared" si="62"/>
        <v>←</v>
      </c>
      <c r="C942" s="11">
        <f t="shared" si="63"/>
        <v>0.16500000000000001</v>
      </c>
      <c r="D942" s="2">
        <v>1658203565060</v>
      </c>
      <c r="E942" t="s">
        <v>0</v>
      </c>
      <c r="F942" s="1">
        <v>9</v>
      </c>
      <c r="G942" s="1">
        <v>31</v>
      </c>
      <c r="H942" s="1">
        <v>21</v>
      </c>
      <c r="I942" s="1">
        <v>5</v>
      </c>
      <c r="J942" s="1">
        <v>0</v>
      </c>
      <c r="K942" s="1">
        <v>23</v>
      </c>
      <c r="L942" s="1">
        <v>0</v>
      </c>
      <c r="M942" s="1">
        <v>0</v>
      </c>
      <c r="N942" s="1" t="s">
        <v>8</v>
      </c>
      <c r="O942" s="1">
        <v>20</v>
      </c>
      <c r="R942" t="str">
        <f t="shared" si="60"/>
        <v>FURNACE STATUS REPORT Fan:1 Ignition:1 Burner:0 Unknown:20</v>
      </c>
    </row>
    <row r="943" spans="1:18" hidden="1" x14ac:dyDescent="0.25">
      <c r="A943" s="3">
        <f t="shared" si="61"/>
        <v>44761.587559560183</v>
      </c>
      <c r="B943" s="8" t="str">
        <f t="shared" si="62"/>
        <v>→</v>
      </c>
      <c r="C943" s="11">
        <f t="shared" si="63"/>
        <v>8.5999999999999993E-2</v>
      </c>
      <c r="D943" s="2">
        <v>1658203565146</v>
      </c>
      <c r="E943" t="s">
        <v>0</v>
      </c>
      <c r="F943" s="1">
        <v>5</v>
      </c>
      <c r="G943" s="1">
        <v>21</v>
      </c>
      <c r="H943" s="1">
        <v>31</v>
      </c>
      <c r="I943" s="1" t="s">
        <v>6</v>
      </c>
      <c r="J943" s="1">
        <v>62</v>
      </c>
      <c r="K943" s="1">
        <v>95</v>
      </c>
      <c r="R943" t="str">
        <f t="shared" si="60"/>
        <v>Ack</v>
      </c>
    </row>
    <row r="944" spans="1:18" hidden="1" x14ac:dyDescent="0.25">
      <c r="A944" s="3">
        <f t="shared" si="61"/>
        <v>44761.587959699071</v>
      </c>
      <c r="B944" s="8" t="str">
        <f t="shared" si="62"/>
        <v>→</v>
      </c>
      <c r="C944" s="11">
        <f t="shared" si="63"/>
        <v>34.572000000000003</v>
      </c>
      <c r="D944" s="2">
        <v>1658203599718</v>
      </c>
      <c r="E944" t="s">
        <v>0</v>
      </c>
      <c r="F944" s="1">
        <v>8</v>
      </c>
      <c r="G944" s="1">
        <v>21</v>
      </c>
      <c r="H944" s="1">
        <v>31</v>
      </c>
      <c r="I944" s="1">
        <v>7</v>
      </c>
      <c r="J944" s="1" t="s">
        <v>72</v>
      </c>
      <c r="K944" s="1">
        <v>1</v>
      </c>
      <c r="L944" s="1">
        <v>1</v>
      </c>
      <c r="M944" s="1">
        <v>12</v>
      </c>
      <c r="N944" s="1">
        <v>84</v>
      </c>
      <c r="R944" t="str">
        <f t="shared" si="60"/>
        <v>TIME 14:1 Tue</v>
      </c>
    </row>
    <row r="945" spans="1:18" hidden="1" x14ac:dyDescent="0.25">
      <c r="A945" s="3">
        <f t="shared" si="61"/>
        <v>44761.587960879631</v>
      </c>
      <c r="B945" s="8" t="str">
        <f t="shared" si="62"/>
        <v>←</v>
      </c>
      <c r="C945" s="11">
        <f t="shared" si="63"/>
        <v>0.10199999999999999</v>
      </c>
      <c r="D945" s="2">
        <v>1658203599820</v>
      </c>
      <c r="E945" t="s">
        <v>0</v>
      </c>
      <c r="F945" s="1">
        <v>5</v>
      </c>
      <c r="G945" s="1">
        <v>31</v>
      </c>
      <c r="H945" s="1">
        <v>21</v>
      </c>
      <c r="I945" s="1" t="s">
        <v>6</v>
      </c>
      <c r="J945" s="1">
        <v>3</v>
      </c>
      <c r="K945" s="1" t="s">
        <v>7</v>
      </c>
      <c r="R945" t="str">
        <f t="shared" si="60"/>
        <v>Ack</v>
      </c>
    </row>
    <row r="946" spans="1:18" hidden="1" x14ac:dyDescent="0.25">
      <c r="A946" s="3">
        <f t="shared" si="61"/>
        <v>44761.587962141202</v>
      </c>
      <c r="B946" s="8" t="str">
        <f t="shared" si="62"/>
        <v>→</v>
      </c>
      <c r="C946" s="11">
        <f t="shared" si="63"/>
        <v>0.109</v>
      </c>
      <c r="D946" s="2">
        <v>1658203599929</v>
      </c>
      <c r="E946" t="s">
        <v>0</v>
      </c>
      <c r="F946" s="1">
        <v>5</v>
      </c>
      <c r="G946" s="1">
        <v>21</v>
      </c>
      <c r="H946" s="1">
        <v>31</v>
      </c>
      <c r="I946" s="1">
        <v>9</v>
      </c>
      <c r="J946" s="1">
        <v>60</v>
      </c>
      <c r="K946" s="1" t="s">
        <v>11</v>
      </c>
      <c r="R946" t="str">
        <f t="shared" si="60"/>
        <v>PING FURNACE</v>
      </c>
    </row>
    <row r="947" spans="1:18" hidden="1" x14ac:dyDescent="0.25">
      <c r="A947" s="3">
        <f t="shared" si="61"/>
        <v>44761.587963495367</v>
      </c>
      <c r="B947" s="8" t="str">
        <f t="shared" si="62"/>
        <v>←</v>
      </c>
      <c r="C947" s="11">
        <f t="shared" si="63"/>
        <v>0.11700000000000001</v>
      </c>
      <c r="D947" s="2">
        <v>1658203600046</v>
      </c>
      <c r="E947" t="s">
        <v>0</v>
      </c>
      <c r="F947" s="1">
        <v>5</v>
      </c>
      <c r="G947" s="1">
        <v>31</v>
      </c>
      <c r="H947" s="1">
        <v>21</v>
      </c>
      <c r="I947" s="1" t="s">
        <v>6</v>
      </c>
      <c r="J947" s="1">
        <v>3</v>
      </c>
      <c r="K947" s="1" t="s">
        <v>7</v>
      </c>
      <c r="R947" t="str">
        <f t="shared" si="60"/>
        <v>Ack</v>
      </c>
    </row>
    <row r="948" spans="1:18" hidden="1" x14ac:dyDescent="0.25">
      <c r="A948" s="3">
        <f t="shared" si="61"/>
        <v>44761.587965300925</v>
      </c>
      <c r="B948" s="8" t="str">
        <f t="shared" si="62"/>
        <v>→</v>
      </c>
      <c r="C948" s="11">
        <f t="shared" si="63"/>
        <v>0.156</v>
      </c>
      <c r="D948" s="2">
        <v>1658203600202</v>
      </c>
      <c r="E948" t="s">
        <v>0</v>
      </c>
      <c r="F948" s="1" t="s">
        <v>3</v>
      </c>
      <c r="G948" s="1">
        <v>21</v>
      </c>
      <c r="H948" s="1">
        <v>31</v>
      </c>
      <c r="I948" s="1" t="s">
        <v>3</v>
      </c>
      <c r="J948" s="1">
        <v>0</v>
      </c>
      <c r="K948" s="1">
        <v>12</v>
      </c>
      <c r="L948" s="1">
        <v>25</v>
      </c>
      <c r="M948" s="1">
        <v>1</v>
      </c>
      <c r="N948" s="1">
        <v>96</v>
      </c>
      <c r="O948" s="1">
        <v>0</v>
      </c>
      <c r="P948" s="1">
        <v>46</v>
      </c>
      <c r="Q948" s="1" t="s">
        <v>108</v>
      </c>
      <c r="R948" t="str">
        <f t="shared" si="60"/>
        <v>TEMPERATURE INFO Set:18 Actual:18.5 Countdown:150</v>
      </c>
    </row>
    <row r="949" spans="1:18" hidden="1" x14ac:dyDescent="0.25">
      <c r="A949" s="3">
        <f t="shared" si="61"/>
        <v>44761.58796636574</v>
      </c>
      <c r="B949" s="8" t="str">
        <f t="shared" si="62"/>
        <v>←</v>
      </c>
      <c r="C949" s="11">
        <f t="shared" si="63"/>
        <v>9.1999999999999998E-2</v>
      </c>
      <c r="D949" s="2">
        <v>1658203600294</v>
      </c>
      <c r="E949" t="s">
        <v>0</v>
      </c>
      <c r="F949" s="1">
        <v>5</v>
      </c>
      <c r="G949" s="1">
        <v>31</v>
      </c>
      <c r="H949" s="1">
        <v>21</v>
      </c>
      <c r="I949" s="1" t="s">
        <v>6</v>
      </c>
      <c r="J949" s="1">
        <v>3</v>
      </c>
      <c r="K949" s="1" t="s">
        <v>7</v>
      </c>
      <c r="R949" t="str">
        <f t="shared" si="60"/>
        <v>Ack</v>
      </c>
    </row>
    <row r="950" spans="1:18" x14ac:dyDescent="0.25">
      <c r="A950" s="3">
        <f t="shared" si="61"/>
        <v>44761.587967546293</v>
      </c>
      <c r="B950" s="8" t="str">
        <f t="shared" si="62"/>
        <v>→</v>
      </c>
      <c r="C950" s="11">
        <f t="shared" si="63"/>
        <v>0.10199999999999999</v>
      </c>
      <c r="D950" s="2">
        <v>1658203600396</v>
      </c>
      <c r="E950" t="s">
        <v>0</v>
      </c>
      <c r="F950" s="1">
        <v>6</v>
      </c>
      <c r="G950" s="1">
        <v>21</v>
      </c>
      <c r="H950" s="1">
        <v>31</v>
      </c>
      <c r="I950" s="1">
        <v>29</v>
      </c>
      <c r="J950" s="1">
        <v>0</v>
      </c>
      <c r="K950" s="1" t="s">
        <v>13</v>
      </c>
      <c r="L950" s="1" t="s">
        <v>14</v>
      </c>
      <c r="R950" t="str">
        <f t="shared" si="60"/>
        <v>LONG PING FURNACE</v>
      </c>
    </row>
    <row r="951" spans="1:18" hidden="1" x14ac:dyDescent="0.25">
      <c r="A951" s="3">
        <f t="shared" si="61"/>
        <v>44761.58796871527</v>
      </c>
      <c r="B951" s="8" t="str">
        <f t="shared" si="62"/>
        <v>←</v>
      </c>
      <c r="C951" s="11">
        <f t="shared" si="63"/>
        <v>0.10100000000000001</v>
      </c>
      <c r="D951" s="2">
        <v>1658203600497</v>
      </c>
      <c r="E951" t="s">
        <v>0</v>
      </c>
      <c r="F951" s="1">
        <v>5</v>
      </c>
      <c r="G951" s="1">
        <v>31</v>
      </c>
      <c r="H951" s="1">
        <v>21</v>
      </c>
      <c r="I951" s="1" t="s">
        <v>6</v>
      </c>
      <c r="J951" s="1">
        <v>3</v>
      </c>
      <c r="K951" s="1" t="s">
        <v>7</v>
      </c>
      <c r="R951" t="str">
        <f t="shared" si="60"/>
        <v>Ack</v>
      </c>
    </row>
    <row r="952" spans="1:18" hidden="1" x14ac:dyDescent="0.25">
      <c r="A952" s="3">
        <f t="shared" si="61"/>
        <v>44761.587969849534</v>
      </c>
      <c r="B952" s="8" t="str">
        <f t="shared" si="62"/>
        <v>→</v>
      </c>
      <c r="C952" s="11">
        <f t="shared" si="63"/>
        <v>9.8000000000000004E-2</v>
      </c>
      <c r="D952" s="2">
        <v>1658203600595</v>
      </c>
      <c r="E952" t="s">
        <v>0</v>
      </c>
      <c r="F952" s="1">
        <v>5</v>
      </c>
      <c r="G952" s="1">
        <v>21</v>
      </c>
      <c r="H952" s="1">
        <v>31</v>
      </c>
      <c r="I952" s="1">
        <v>6</v>
      </c>
      <c r="J952" s="1">
        <v>60</v>
      </c>
      <c r="K952" s="1">
        <v>83</v>
      </c>
      <c r="R952" t="str">
        <f t="shared" si="60"/>
        <v>FURNACE STATUS REQUEST</v>
      </c>
    </row>
    <row r="953" spans="1:18" hidden="1" x14ac:dyDescent="0.25">
      <c r="A953" s="3">
        <f t="shared" si="61"/>
        <v>44761.587971643516</v>
      </c>
      <c r="B953" s="8" t="str">
        <f t="shared" si="62"/>
        <v>←</v>
      </c>
      <c r="C953" s="11">
        <f t="shared" si="63"/>
        <v>0.155</v>
      </c>
      <c r="D953" s="2">
        <v>1658203600750</v>
      </c>
      <c r="E953" t="s">
        <v>0</v>
      </c>
      <c r="F953" s="1">
        <v>9</v>
      </c>
      <c r="G953" s="1">
        <v>31</v>
      </c>
      <c r="H953" s="1">
        <v>21</v>
      </c>
      <c r="I953" s="1" t="s">
        <v>1</v>
      </c>
      <c r="J953" s="1">
        <v>0</v>
      </c>
      <c r="K953" s="1">
        <v>23</v>
      </c>
      <c r="L953" s="1">
        <v>0</v>
      </c>
      <c r="M953" s="1">
        <v>0</v>
      </c>
      <c r="N953" s="1">
        <v>71</v>
      </c>
      <c r="O953" s="1">
        <v>73</v>
      </c>
      <c r="R953" t="str">
        <f t="shared" si="60"/>
        <v>FURNACE STATUS RESPONSE Fan:1 Ignition:1 Burner:0 Unknown:20</v>
      </c>
    </row>
    <row r="954" spans="1:18" hidden="1" x14ac:dyDescent="0.25">
      <c r="A954" s="3">
        <f t="shared" si="61"/>
        <v>44761.58824936342</v>
      </c>
      <c r="B954" s="8" t="str">
        <f t="shared" si="62"/>
        <v>←</v>
      </c>
      <c r="C954" s="11">
        <f t="shared" si="63"/>
        <v>23.995000000000001</v>
      </c>
      <c r="D954" s="2">
        <v>1658203624745</v>
      </c>
      <c r="E954" t="s">
        <v>0</v>
      </c>
      <c r="F954" s="1">
        <v>9</v>
      </c>
      <c r="G954" s="1">
        <v>31</v>
      </c>
      <c r="H954" s="1">
        <v>21</v>
      </c>
      <c r="I954" s="1">
        <v>5</v>
      </c>
      <c r="J954" s="1">
        <v>0</v>
      </c>
      <c r="K954" s="1">
        <v>21</v>
      </c>
      <c r="L954" s="1">
        <v>0</v>
      </c>
      <c r="M954" s="1">
        <v>0</v>
      </c>
      <c r="N954" s="1">
        <v>59</v>
      </c>
      <c r="O954" s="1" t="s">
        <v>3</v>
      </c>
      <c r="R954" t="str">
        <f t="shared" si="60"/>
        <v>FURNACE STATUS REPORT Fan:1 Ignition:0 Burner:0 Unknown:20</v>
      </c>
    </row>
    <row r="955" spans="1:18" hidden="1" x14ac:dyDescent="0.25">
      <c r="A955" s="3">
        <f t="shared" si="61"/>
        <v>44761.58825040509</v>
      </c>
      <c r="B955" s="8" t="str">
        <f t="shared" si="62"/>
        <v>→</v>
      </c>
      <c r="C955" s="11">
        <f t="shared" si="63"/>
        <v>0.09</v>
      </c>
      <c r="D955" s="2">
        <v>1658203624835</v>
      </c>
      <c r="E955" t="s">
        <v>0</v>
      </c>
      <c r="F955" s="1">
        <v>5</v>
      </c>
      <c r="G955" s="1">
        <v>21</v>
      </c>
      <c r="H955" s="1">
        <v>31</v>
      </c>
      <c r="I955" s="1" t="s">
        <v>6</v>
      </c>
      <c r="J955" s="1">
        <v>62</v>
      </c>
      <c r="K955" s="1">
        <v>95</v>
      </c>
      <c r="R955" t="str">
        <f t="shared" si="60"/>
        <v>Ack</v>
      </c>
    </row>
    <row r="956" spans="1:18" hidden="1" x14ac:dyDescent="0.25">
      <c r="A956" s="3">
        <f t="shared" si="61"/>
        <v>44761.588252743059</v>
      </c>
      <c r="B956" s="8" t="str">
        <f t="shared" si="62"/>
        <v>←</v>
      </c>
      <c r="C956" s="11">
        <f t="shared" si="63"/>
        <v>0.20200000000000001</v>
      </c>
      <c r="D956" s="2">
        <v>1658203625037</v>
      </c>
      <c r="E956" t="s">
        <v>0</v>
      </c>
      <c r="F956" s="1">
        <v>9</v>
      </c>
      <c r="G956" s="1">
        <v>31</v>
      </c>
      <c r="H956" s="1">
        <v>21</v>
      </c>
      <c r="I956" s="1">
        <v>5</v>
      </c>
      <c r="J956" s="1">
        <v>0</v>
      </c>
      <c r="K956" s="1">
        <v>1</v>
      </c>
      <c r="L956" s="1">
        <v>0</v>
      </c>
      <c r="M956" s="1">
        <v>0</v>
      </c>
      <c r="N956" s="1" t="s">
        <v>15</v>
      </c>
      <c r="O956" s="1">
        <v>88</v>
      </c>
      <c r="R956" t="str">
        <f t="shared" si="60"/>
        <v>FURNACE STATUS REPORT Fan:1 Ignition:0 Burner:0 Unknown:0</v>
      </c>
    </row>
    <row r="957" spans="1:18" hidden="1" x14ac:dyDescent="0.25">
      <c r="A957" s="3">
        <f t="shared" si="61"/>
        <v>44761.588253819442</v>
      </c>
      <c r="B957" s="8" t="str">
        <f t="shared" si="62"/>
        <v>→</v>
      </c>
      <c r="C957" s="11">
        <f t="shared" si="63"/>
        <v>9.2999999999999999E-2</v>
      </c>
      <c r="D957" s="2">
        <v>1658203625130</v>
      </c>
      <c r="E957" t="s">
        <v>0</v>
      </c>
      <c r="F957" s="1">
        <v>5</v>
      </c>
      <c r="G957" s="1">
        <v>21</v>
      </c>
      <c r="H957" s="1">
        <v>31</v>
      </c>
      <c r="I957" s="1" t="s">
        <v>6</v>
      </c>
      <c r="J957" s="1">
        <v>62</v>
      </c>
      <c r="K957" s="1">
        <v>95</v>
      </c>
      <c r="R957" t="str">
        <f t="shared" si="60"/>
        <v>Ack</v>
      </c>
    </row>
    <row r="958" spans="1:18" hidden="1" x14ac:dyDescent="0.25">
      <c r="A958" s="3">
        <f t="shared" si="61"/>
        <v>44761.588503923609</v>
      </c>
      <c r="B958" s="8" t="str">
        <f t="shared" si="62"/>
        <v>←</v>
      </c>
      <c r="C958" s="11">
        <f t="shared" si="63"/>
        <v>21.609000000000002</v>
      </c>
      <c r="D958" s="2">
        <v>1658203646739</v>
      </c>
      <c r="E958" t="s">
        <v>0</v>
      </c>
      <c r="F958" s="1">
        <v>9</v>
      </c>
      <c r="G958" s="1">
        <v>31</v>
      </c>
      <c r="H958" s="1">
        <v>21</v>
      </c>
      <c r="I958" s="1">
        <v>5</v>
      </c>
      <c r="J958" s="1">
        <v>0</v>
      </c>
      <c r="K958" s="1">
        <v>0</v>
      </c>
      <c r="L958" s="1">
        <v>0</v>
      </c>
      <c r="M958" s="1">
        <v>0</v>
      </c>
      <c r="N958" s="1" t="s">
        <v>19</v>
      </c>
      <c r="O958" s="1" t="s">
        <v>20</v>
      </c>
      <c r="R958" t="str">
        <f t="shared" si="60"/>
        <v>FURNACE STATUS REPORT Fan:0 Ignition:0 Burner:0 Unknown:0</v>
      </c>
    </row>
    <row r="959" spans="1:18" hidden="1" x14ac:dyDescent="0.25">
      <c r="A959" s="3">
        <f t="shared" si="61"/>
        <v>44761.588505127314</v>
      </c>
      <c r="B959" s="8" t="str">
        <f t="shared" si="62"/>
        <v>→</v>
      </c>
      <c r="C959" s="11">
        <f t="shared" si="63"/>
        <v>0.104</v>
      </c>
      <c r="D959" s="2">
        <v>1658203646843</v>
      </c>
      <c r="E959" t="s">
        <v>0</v>
      </c>
      <c r="F959" s="1">
        <v>5</v>
      </c>
      <c r="G959" s="1">
        <v>21</v>
      </c>
      <c r="H959" s="1">
        <v>31</v>
      </c>
      <c r="I959" s="1" t="s">
        <v>6</v>
      </c>
      <c r="J959" s="1">
        <v>62</v>
      </c>
      <c r="K959" s="1">
        <v>95</v>
      </c>
      <c r="R959" t="str">
        <f t="shared" si="60"/>
        <v>Ack</v>
      </c>
    </row>
    <row r="960" spans="1:18" hidden="1" x14ac:dyDescent="0.25">
      <c r="A960" s="3">
        <f t="shared" si="61"/>
        <v>44761.588654166662</v>
      </c>
      <c r="B960" s="8" t="str">
        <f t="shared" si="62"/>
        <v>→</v>
      </c>
      <c r="C960" s="11">
        <f t="shared" si="63"/>
        <v>12.877000000000001</v>
      </c>
      <c r="D960" s="2">
        <v>1658203659720</v>
      </c>
      <c r="E960" t="s">
        <v>0</v>
      </c>
      <c r="F960" s="1">
        <v>8</v>
      </c>
      <c r="G960" s="1">
        <v>21</v>
      </c>
      <c r="H960" s="1">
        <v>31</v>
      </c>
      <c r="I960" s="1">
        <v>7</v>
      </c>
      <c r="J960" s="1" t="s">
        <v>72</v>
      </c>
      <c r="K960" s="1">
        <v>2</v>
      </c>
      <c r="L960" s="1">
        <v>1</v>
      </c>
      <c r="M960" s="1">
        <v>18</v>
      </c>
      <c r="N960" s="1">
        <v>84</v>
      </c>
      <c r="R960" t="str">
        <f t="shared" si="60"/>
        <v>TIME 14:2 Tue</v>
      </c>
    </row>
    <row r="961" spans="1:18" hidden="1" x14ac:dyDescent="0.25">
      <c r="A961" s="3">
        <f t="shared" si="61"/>
        <v>44761.588655486114</v>
      </c>
      <c r="B961" s="8" t="str">
        <f t="shared" si="62"/>
        <v>←</v>
      </c>
      <c r="C961" s="11">
        <f t="shared" si="63"/>
        <v>0.114</v>
      </c>
      <c r="D961" s="2">
        <v>1658203659834</v>
      </c>
      <c r="E961" t="s">
        <v>0</v>
      </c>
      <c r="F961" s="1">
        <v>5</v>
      </c>
      <c r="G961" s="1">
        <v>31</v>
      </c>
      <c r="H961" s="1">
        <v>21</v>
      </c>
      <c r="I961" s="1" t="s">
        <v>6</v>
      </c>
      <c r="J961" s="1">
        <v>3</v>
      </c>
      <c r="K961" s="1" t="s">
        <v>7</v>
      </c>
      <c r="R961" t="str">
        <f t="shared" si="60"/>
        <v>Ack</v>
      </c>
    </row>
    <row r="962" spans="1:18" hidden="1" x14ac:dyDescent="0.25">
      <c r="A962" s="3">
        <f t="shared" si="61"/>
        <v>44761.588656828702</v>
      </c>
      <c r="B962" s="8" t="str">
        <f t="shared" si="62"/>
        <v>→</v>
      </c>
      <c r="C962" s="11">
        <f t="shared" si="63"/>
        <v>0.11600000000000001</v>
      </c>
      <c r="D962" s="2">
        <v>1658203659950</v>
      </c>
      <c r="E962" t="s">
        <v>0</v>
      </c>
      <c r="F962" s="1">
        <v>5</v>
      </c>
      <c r="G962" s="1">
        <v>21</v>
      </c>
      <c r="H962" s="1">
        <v>31</v>
      </c>
      <c r="I962" s="1">
        <v>9</v>
      </c>
      <c r="J962" s="1">
        <v>60</v>
      </c>
      <c r="K962" s="1" t="s">
        <v>11</v>
      </c>
      <c r="R962" t="str">
        <f t="shared" si="60"/>
        <v>PING FURNACE</v>
      </c>
    </row>
    <row r="963" spans="1:18" hidden="1" x14ac:dyDescent="0.25">
      <c r="A963" s="3">
        <f t="shared" si="61"/>
        <v>44761.588657905093</v>
      </c>
      <c r="B963" s="8" t="str">
        <f t="shared" si="62"/>
        <v>←</v>
      </c>
      <c r="C963" s="11">
        <f t="shared" si="63"/>
        <v>9.2999999999999999E-2</v>
      </c>
      <c r="D963" s="2">
        <v>1658203660043</v>
      </c>
      <c r="E963" t="s">
        <v>0</v>
      </c>
      <c r="F963" s="1">
        <v>5</v>
      </c>
      <c r="G963" s="1">
        <v>31</v>
      </c>
      <c r="H963" s="1">
        <v>21</v>
      </c>
      <c r="I963" s="1" t="s">
        <v>6</v>
      </c>
      <c r="J963" s="1">
        <v>3</v>
      </c>
      <c r="K963" s="1" t="s">
        <v>7</v>
      </c>
      <c r="R963" t="str">
        <f t="shared" ref="R963:R1026" si="64">IF(E963="Ok",_xlfn.SWITCH(I963,5,"FURNACE STATUS REPORT Fan:"&amp;IF(_xlfn.BITAND(HEX2DEC(K963),1),"1","0")&amp;" Ignition:"&amp;IF(_xlfn.BITAND(HEX2DEC(K963),2),"1","0")&amp;" Burner:"&amp;IF(_xlfn.BITAND(HEX2DEC(K963),4),"1","0")&amp;" Unknown:"&amp;DEC2HEX(_xlfn.BITAND(HEX2DEC(K963),248)),6,"FURNACE STATUS REQUEST",7,"TIME "&amp;HEX2DEC(J963)&amp;":"&amp;HEX2DEC(K963)&amp;" "&amp;CHOOSE(L963+1,"Mon","Tue","Wed","Thu","Fri","Sat","Sun"),9,"PING FURNACE","0B","TEMPERATURE INFO Set:"&amp;HEX2DEC(K963)&amp;" Actual:"&amp;HEX2DEC(L963)/2&amp;" Countdown:"&amp;HEX2DEC(N963),29,"LONG PING FURNACE","FB","FURNACE STATUS RESPONSE Fan:"&amp;IF(_xlfn.BITAND(HEX2DEC(K963),1),"1","0")&amp;" Ignition:"&amp;IF(_xlfn.BITAND(HEX2DEC(K963),2),"1","0")&amp;" Burner:"&amp;IF(_xlfn.BITAND(HEX2DEC(K963),4),"1","0")&amp;" Unknown:"&amp;DEC2HEX(_xlfn.BITAND(HEX2DEC(K963),248)),"FF","Ack"),"")</f>
        <v>Ack</v>
      </c>
    </row>
    <row r="964" spans="1:18" hidden="1" x14ac:dyDescent="0.25">
      <c r="A964" s="3">
        <f t="shared" si="61"/>
        <v>44761.588659675923</v>
      </c>
      <c r="B964" s="8" t="str">
        <f t="shared" si="62"/>
        <v>→</v>
      </c>
      <c r="C964" s="11">
        <f t="shared" si="63"/>
        <v>0.153</v>
      </c>
      <c r="D964" s="2">
        <v>1658203660196</v>
      </c>
      <c r="E964" t="s">
        <v>0</v>
      </c>
      <c r="F964" s="1" t="s">
        <v>3</v>
      </c>
      <c r="G964" s="1">
        <v>21</v>
      </c>
      <c r="H964" s="1">
        <v>31</v>
      </c>
      <c r="I964" s="1" t="s">
        <v>3</v>
      </c>
      <c r="J964" s="1">
        <v>0</v>
      </c>
      <c r="K964" s="1">
        <v>12</v>
      </c>
      <c r="L964" s="1">
        <v>25</v>
      </c>
      <c r="M964" s="1">
        <v>1</v>
      </c>
      <c r="N964" s="1" t="s">
        <v>91</v>
      </c>
      <c r="O964" s="1">
        <v>0</v>
      </c>
      <c r="P964" s="1" t="s">
        <v>18</v>
      </c>
      <c r="Q964" s="1">
        <v>84</v>
      </c>
      <c r="R964" t="str">
        <f t="shared" si="64"/>
        <v>TEMPERATURE INFO Set:18 Actual:18.5 Countdown:90</v>
      </c>
    </row>
    <row r="965" spans="1:18" hidden="1" x14ac:dyDescent="0.25">
      <c r="A965" s="3">
        <f t="shared" si="61"/>
        <v>44761.588661111113</v>
      </c>
      <c r="B965" s="8" t="str">
        <f t="shared" si="62"/>
        <v>←</v>
      </c>
      <c r="C965" s="11">
        <f t="shared" si="63"/>
        <v>0.124</v>
      </c>
      <c r="D965" s="2">
        <v>1658203660320</v>
      </c>
      <c r="E965" t="s">
        <v>0</v>
      </c>
      <c r="F965" s="1">
        <v>5</v>
      </c>
      <c r="G965" s="1">
        <v>31</v>
      </c>
      <c r="H965" s="1">
        <v>21</v>
      </c>
      <c r="I965" s="1" t="s">
        <v>6</v>
      </c>
      <c r="J965" s="1">
        <v>3</v>
      </c>
      <c r="K965" s="1" t="s">
        <v>7</v>
      </c>
      <c r="R965" t="str">
        <f t="shared" si="64"/>
        <v>Ack</v>
      </c>
    </row>
    <row r="966" spans="1:18" x14ac:dyDescent="0.25">
      <c r="A966" s="3">
        <f t="shared" si="61"/>
        <v>44761.588662222224</v>
      </c>
      <c r="B966" s="8" t="str">
        <f t="shared" si="62"/>
        <v>→</v>
      </c>
      <c r="C966" s="11">
        <f t="shared" si="63"/>
        <v>9.6000000000000002E-2</v>
      </c>
      <c r="D966" s="2">
        <v>1658203660416</v>
      </c>
      <c r="E966" t="s">
        <v>0</v>
      </c>
      <c r="F966" s="1">
        <v>6</v>
      </c>
      <c r="G966" s="1">
        <v>21</v>
      </c>
      <c r="H966" s="1">
        <v>31</v>
      </c>
      <c r="I966" s="1">
        <v>29</v>
      </c>
      <c r="J966" s="1">
        <v>0</v>
      </c>
      <c r="K966" s="1" t="s">
        <v>13</v>
      </c>
      <c r="L966" s="1" t="s">
        <v>14</v>
      </c>
      <c r="R966" t="str">
        <f t="shared" si="64"/>
        <v>LONG PING FURNACE</v>
      </c>
    </row>
    <row r="967" spans="1:18" hidden="1" x14ac:dyDescent="0.25">
      <c r="A967" s="3">
        <f t="shared" si="61"/>
        <v>44761.588663553237</v>
      </c>
      <c r="B967" s="8" t="str">
        <f t="shared" si="62"/>
        <v>←</v>
      </c>
      <c r="C967" s="11">
        <f t="shared" si="63"/>
        <v>0.115</v>
      </c>
      <c r="D967" s="2">
        <v>1658203660531</v>
      </c>
      <c r="E967" t="s">
        <v>0</v>
      </c>
      <c r="F967" s="1">
        <v>5</v>
      </c>
      <c r="G967" s="1">
        <v>31</v>
      </c>
      <c r="H967" s="1">
        <v>21</v>
      </c>
      <c r="I967" s="1" t="s">
        <v>6</v>
      </c>
      <c r="J967" s="1">
        <v>3</v>
      </c>
      <c r="K967" s="1" t="s">
        <v>7</v>
      </c>
      <c r="R967" t="str">
        <f t="shared" si="64"/>
        <v>Ack</v>
      </c>
    </row>
    <row r="968" spans="1:18" hidden="1" x14ac:dyDescent="0.25">
      <c r="A968" s="3">
        <f t="shared" si="61"/>
        <v>44761.588664513889</v>
      </c>
      <c r="B968" s="8" t="str">
        <f t="shared" si="62"/>
        <v>→</v>
      </c>
      <c r="C968" s="11">
        <f t="shared" si="63"/>
        <v>8.3000000000000004E-2</v>
      </c>
      <c r="D968" s="2">
        <v>1658203660614</v>
      </c>
      <c r="E968" t="s">
        <v>0</v>
      </c>
      <c r="F968" s="1">
        <v>5</v>
      </c>
      <c r="G968" s="1">
        <v>21</v>
      </c>
      <c r="H968" s="1">
        <v>31</v>
      </c>
      <c r="I968" s="1">
        <v>6</v>
      </c>
      <c r="J968" s="1">
        <v>60</v>
      </c>
      <c r="K968" s="1">
        <v>83</v>
      </c>
      <c r="R968" t="str">
        <f t="shared" si="64"/>
        <v>FURNACE STATUS REQUEST</v>
      </c>
    </row>
    <row r="969" spans="1:18" hidden="1" x14ac:dyDescent="0.25">
      <c r="A969" s="3">
        <f t="shared" si="61"/>
        <v>44761.588666365737</v>
      </c>
      <c r="B969" s="8" t="str">
        <f t="shared" si="62"/>
        <v>←</v>
      </c>
      <c r="C969" s="11">
        <f t="shared" si="63"/>
        <v>0.16</v>
      </c>
      <c r="D969" s="2">
        <v>1658203660774</v>
      </c>
      <c r="E969" t="s">
        <v>0</v>
      </c>
      <c r="F969" s="1">
        <v>9</v>
      </c>
      <c r="G969" s="1">
        <v>31</v>
      </c>
      <c r="H969" s="1">
        <v>21</v>
      </c>
      <c r="I969" s="1" t="s">
        <v>1</v>
      </c>
      <c r="J969" s="1">
        <v>0</v>
      </c>
      <c r="K969" s="1">
        <v>0</v>
      </c>
      <c r="L969" s="1">
        <v>0</v>
      </c>
      <c r="M969" s="1">
        <v>0</v>
      </c>
      <c r="N969" s="1" t="s">
        <v>21</v>
      </c>
      <c r="O969" s="1" t="s">
        <v>22</v>
      </c>
      <c r="R969" t="str">
        <f t="shared" si="64"/>
        <v>FURNACE STATUS RESPONSE Fan:0 Ignition:0 Burner:0 Unknown:0</v>
      </c>
    </row>
    <row r="970" spans="1:18" hidden="1" x14ac:dyDescent="0.25">
      <c r="A970" s="3">
        <f t="shared" si="61"/>
        <v>44761.589348738424</v>
      </c>
      <c r="B970" s="8" t="str">
        <f t="shared" si="62"/>
        <v>→</v>
      </c>
      <c r="C970" s="11">
        <f t="shared" si="63"/>
        <v>58.957000000000001</v>
      </c>
      <c r="D970" s="2">
        <v>1658203719731</v>
      </c>
      <c r="E970" t="s">
        <v>0</v>
      </c>
      <c r="F970" s="1">
        <v>8</v>
      </c>
      <c r="G970" s="1">
        <v>21</v>
      </c>
      <c r="H970" s="1">
        <v>31</v>
      </c>
      <c r="I970" s="1">
        <v>7</v>
      </c>
      <c r="J970" s="1" t="s">
        <v>72</v>
      </c>
      <c r="K970" s="1">
        <v>3</v>
      </c>
      <c r="L970" s="1">
        <v>1</v>
      </c>
      <c r="M970" s="1" t="s">
        <v>100</v>
      </c>
      <c r="N970" s="1">
        <v>87</v>
      </c>
      <c r="R970" t="str">
        <f t="shared" si="64"/>
        <v>TIME 14:3 Tue</v>
      </c>
    </row>
    <row r="971" spans="1:18" hidden="1" x14ac:dyDescent="0.25">
      <c r="A971" s="3">
        <f t="shared" si="61"/>
        <v>44761.589349907408</v>
      </c>
      <c r="B971" s="8" t="str">
        <f t="shared" si="62"/>
        <v>←</v>
      </c>
      <c r="C971" s="11">
        <f t="shared" si="63"/>
        <v>0.10100000000000001</v>
      </c>
      <c r="D971" s="2">
        <v>1658203719832</v>
      </c>
      <c r="E971" t="s">
        <v>0</v>
      </c>
      <c r="F971" s="1">
        <v>5</v>
      </c>
      <c r="G971" s="1">
        <v>31</v>
      </c>
      <c r="H971" s="1">
        <v>21</v>
      </c>
      <c r="I971" s="1" t="s">
        <v>6</v>
      </c>
      <c r="J971" s="1">
        <v>3</v>
      </c>
      <c r="K971" s="1" t="s">
        <v>7</v>
      </c>
      <c r="R971" t="str">
        <f t="shared" si="64"/>
        <v>Ack</v>
      </c>
    </row>
    <row r="972" spans="1:18" hidden="1" x14ac:dyDescent="0.25">
      <c r="A972" s="3">
        <f t="shared" si="61"/>
        <v>44761.589351180555</v>
      </c>
      <c r="B972" s="8" t="str">
        <f t="shared" si="62"/>
        <v>→</v>
      </c>
      <c r="C972" s="11">
        <f t="shared" si="63"/>
        <v>0.11</v>
      </c>
      <c r="D972" s="2">
        <v>1658203719942</v>
      </c>
      <c r="E972" t="s">
        <v>0</v>
      </c>
      <c r="F972" s="1">
        <v>5</v>
      </c>
      <c r="G972" s="1">
        <v>21</v>
      </c>
      <c r="H972" s="1">
        <v>31</v>
      </c>
      <c r="I972" s="1">
        <v>9</v>
      </c>
      <c r="J972" s="1">
        <v>60</v>
      </c>
      <c r="K972" s="1" t="s">
        <v>11</v>
      </c>
      <c r="R972" t="str">
        <f t="shared" si="64"/>
        <v>PING FURNACE</v>
      </c>
    </row>
    <row r="973" spans="1:18" hidden="1" x14ac:dyDescent="0.25">
      <c r="A973" s="3">
        <f t="shared" si="61"/>
        <v>44761.589352280091</v>
      </c>
      <c r="B973" s="8" t="str">
        <f t="shared" si="62"/>
        <v>←</v>
      </c>
      <c r="C973" s="11">
        <f t="shared" si="63"/>
        <v>9.5000000000000001E-2</v>
      </c>
      <c r="D973" s="2">
        <v>1658203720037</v>
      </c>
      <c r="E973" t="s">
        <v>0</v>
      </c>
      <c r="F973" s="1">
        <v>5</v>
      </c>
      <c r="G973" s="1">
        <v>31</v>
      </c>
      <c r="H973" s="1">
        <v>21</v>
      </c>
      <c r="I973" s="1" t="s">
        <v>6</v>
      </c>
      <c r="J973" s="1">
        <v>3</v>
      </c>
      <c r="K973" s="1" t="s">
        <v>7</v>
      </c>
      <c r="R973" t="str">
        <f t="shared" si="64"/>
        <v>Ack</v>
      </c>
    </row>
    <row r="974" spans="1:18" hidden="1" x14ac:dyDescent="0.25">
      <c r="A974" s="3">
        <f t="shared" si="61"/>
        <v>44761.589354247684</v>
      </c>
      <c r="B974" s="8" t="str">
        <f t="shared" si="62"/>
        <v>→</v>
      </c>
      <c r="C974" s="11">
        <f t="shared" si="63"/>
        <v>0.17</v>
      </c>
      <c r="D974" s="2">
        <v>1658203720207</v>
      </c>
      <c r="E974" t="s">
        <v>0</v>
      </c>
      <c r="F974" s="1" t="s">
        <v>3</v>
      </c>
      <c r="G974" s="1">
        <v>21</v>
      </c>
      <c r="H974" s="1">
        <v>31</v>
      </c>
      <c r="I974" s="1" t="s">
        <v>3</v>
      </c>
      <c r="J974" s="1">
        <v>0</v>
      </c>
      <c r="K974" s="1">
        <v>12</v>
      </c>
      <c r="L974" s="1">
        <v>25</v>
      </c>
      <c r="M974" s="1">
        <v>1</v>
      </c>
      <c r="N974" s="1" t="s">
        <v>34</v>
      </c>
      <c r="O974" s="1">
        <v>0</v>
      </c>
      <c r="P974" s="1">
        <v>76</v>
      </c>
      <c r="Q974" s="1">
        <v>81</v>
      </c>
      <c r="R974" t="str">
        <f t="shared" si="64"/>
        <v>TEMPERATURE INFO Set:18 Actual:18.5 Countdown:30</v>
      </c>
    </row>
    <row r="975" spans="1:18" hidden="1" x14ac:dyDescent="0.25">
      <c r="A975" s="3">
        <f t="shared" si="61"/>
        <v>44761.58935548611</v>
      </c>
      <c r="B975" s="8" t="str">
        <f t="shared" si="62"/>
        <v>←</v>
      </c>
      <c r="C975" s="11">
        <f t="shared" si="63"/>
        <v>0.107</v>
      </c>
      <c r="D975" s="2">
        <v>1658203720314</v>
      </c>
      <c r="E975" t="s">
        <v>0</v>
      </c>
      <c r="F975" s="1">
        <v>5</v>
      </c>
      <c r="G975" s="1">
        <v>31</v>
      </c>
      <c r="H975" s="1">
        <v>21</v>
      </c>
      <c r="I975" s="1" t="s">
        <v>6</v>
      </c>
      <c r="J975" s="1">
        <v>3</v>
      </c>
      <c r="K975" s="1" t="s">
        <v>7</v>
      </c>
      <c r="R975" t="str">
        <f t="shared" si="64"/>
        <v>Ack</v>
      </c>
    </row>
    <row r="976" spans="1:18" x14ac:dyDescent="0.25">
      <c r="A976" s="3">
        <f t="shared" si="61"/>
        <v>44761.589356527773</v>
      </c>
      <c r="B976" s="8" t="str">
        <f t="shared" si="62"/>
        <v>→</v>
      </c>
      <c r="C976" s="11">
        <f t="shared" si="63"/>
        <v>0.09</v>
      </c>
      <c r="D976" s="2">
        <v>1658203720404</v>
      </c>
      <c r="E976" t="s">
        <v>0</v>
      </c>
      <c r="F976" s="1">
        <v>6</v>
      </c>
      <c r="G976" s="1">
        <v>21</v>
      </c>
      <c r="H976" s="1">
        <v>31</v>
      </c>
      <c r="I976" s="1">
        <v>29</v>
      </c>
      <c r="J976" s="1">
        <v>0</v>
      </c>
      <c r="K976" s="1" t="s">
        <v>13</v>
      </c>
      <c r="L976" s="1" t="s">
        <v>14</v>
      </c>
      <c r="R976" t="str">
        <f t="shared" si="64"/>
        <v>LONG PING FURNACE</v>
      </c>
    </row>
    <row r="977" spans="1:18" hidden="1" x14ac:dyDescent="0.25">
      <c r="A977" s="3">
        <f t="shared" si="61"/>
        <v>44761.589357847224</v>
      </c>
      <c r="B977" s="8" t="str">
        <f t="shared" si="62"/>
        <v>←</v>
      </c>
      <c r="C977" s="11">
        <f t="shared" si="63"/>
        <v>0.114</v>
      </c>
      <c r="D977" s="2">
        <v>1658203720518</v>
      </c>
      <c r="E977" t="s">
        <v>0</v>
      </c>
      <c r="F977" s="1">
        <v>5</v>
      </c>
      <c r="G977" s="1">
        <v>31</v>
      </c>
      <c r="H977" s="1">
        <v>21</v>
      </c>
      <c r="I977" s="1" t="s">
        <v>6</v>
      </c>
      <c r="J977" s="1">
        <v>3</v>
      </c>
      <c r="K977" s="1" t="s">
        <v>7</v>
      </c>
      <c r="R977" t="str">
        <f t="shared" si="64"/>
        <v>Ack</v>
      </c>
    </row>
    <row r="978" spans="1:18" hidden="1" x14ac:dyDescent="0.25">
      <c r="A978" s="3">
        <f t="shared" si="61"/>
        <v>44761.58935884259</v>
      </c>
      <c r="B978" s="8" t="str">
        <f t="shared" si="62"/>
        <v>→</v>
      </c>
      <c r="C978" s="11">
        <f t="shared" si="63"/>
        <v>8.5999999999999993E-2</v>
      </c>
      <c r="D978" s="2">
        <v>1658203720604</v>
      </c>
      <c r="E978" t="s">
        <v>0</v>
      </c>
      <c r="F978" s="1">
        <v>5</v>
      </c>
      <c r="G978" s="1">
        <v>21</v>
      </c>
      <c r="H978" s="1">
        <v>31</v>
      </c>
      <c r="I978" s="1">
        <v>6</v>
      </c>
      <c r="J978" s="1">
        <v>60</v>
      </c>
      <c r="K978" s="1">
        <v>83</v>
      </c>
      <c r="R978" t="str">
        <f t="shared" si="64"/>
        <v>FURNACE STATUS REQUEST</v>
      </c>
    </row>
    <row r="979" spans="1:18" hidden="1" x14ac:dyDescent="0.25">
      <c r="A979" s="3">
        <f t="shared" si="61"/>
        <v>44761.589360879625</v>
      </c>
      <c r="B979" s="8" t="str">
        <f t="shared" si="62"/>
        <v>←</v>
      </c>
      <c r="C979" s="11">
        <f t="shared" si="63"/>
        <v>0.17599999999999999</v>
      </c>
      <c r="D979" s="2">
        <v>1658203720780</v>
      </c>
      <c r="E979" t="s">
        <v>0</v>
      </c>
      <c r="F979" s="1">
        <v>9</v>
      </c>
      <c r="G979" s="1">
        <v>31</v>
      </c>
      <c r="H979" s="1">
        <v>21</v>
      </c>
      <c r="I979" s="1" t="s">
        <v>1</v>
      </c>
      <c r="J979" s="1">
        <v>0</v>
      </c>
      <c r="K979" s="1">
        <v>0</v>
      </c>
      <c r="L979" s="1">
        <v>0</v>
      </c>
      <c r="M979" s="1">
        <v>0</v>
      </c>
      <c r="N979" s="1" t="s">
        <v>21</v>
      </c>
      <c r="O979" s="1" t="s">
        <v>22</v>
      </c>
      <c r="R979" t="str">
        <f t="shared" si="64"/>
        <v>FURNACE STATUS RESPONSE Fan:0 Ignition:0 Burner:0 Unknown:0</v>
      </c>
    </row>
    <row r="980" spans="1:18" hidden="1" x14ac:dyDescent="0.25">
      <c r="A980" s="3">
        <f t="shared" si="61"/>
        <v>44761.590043113429</v>
      </c>
      <c r="B980" s="8" t="str">
        <f t="shared" si="62"/>
        <v>→</v>
      </c>
      <c r="C980" s="11">
        <f t="shared" si="63"/>
        <v>58.945</v>
      </c>
      <c r="D980" s="2">
        <v>1658203779725</v>
      </c>
      <c r="E980" t="s">
        <v>0</v>
      </c>
      <c r="F980" s="1">
        <v>8</v>
      </c>
      <c r="G980" s="1">
        <v>21</v>
      </c>
      <c r="H980" s="1">
        <v>31</v>
      </c>
      <c r="I980" s="1">
        <v>7</v>
      </c>
      <c r="J980" s="1" t="s">
        <v>72</v>
      </c>
      <c r="K980" s="1">
        <v>4</v>
      </c>
      <c r="L980" s="1">
        <v>1</v>
      </c>
      <c r="M980" s="1" t="s">
        <v>68</v>
      </c>
      <c r="N980" s="1">
        <v>84</v>
      </c>
      <c r="R980" t="str">
        <f t="shared" si="64"/>
        <v>TIME 14:4 Tue</v>
      </c>
    </row>
    <row r="981" spans="1:18" hidden="1" x14ac:dyDescent="0.25">
      <c r="A981" s="3">
        <f t="shared" si="61"/>
        <v>44761.59004427083</v>
      </c>
      <c r="B981" s="8" t="str">
        <f t="shared" si="62"/>
        <v>←</v>
      </c>
      <c r="C981" s="11">
        <f t="shared" si="63"/>
        <v>0.1</v>
      </c>
      <c r="D981" s="2">
        <v>1658203779825</v>
      </c>
      <c r="E981" t="s">
        <v>0</v>
      </c>
      <c r="F981" s="1">
        <v>5</v>
      </c>
      <c r="G981" s="1">
        <v>31</v>
      </c>
      <c r="H981" s="1">
        <v>21</v>
      </c>
      <c r="I981" s="1" t="s">
        <v>6</v>
      </c>
      <c r="J981" s="1">
        <v>3</v>
      </c>
      <c r="K981" s="1" t="s">
        <v>7</v>
      </c>
      <c r="R981" t="str">
        <f t="shared" si="64"/>
        <v>Ack</v>
      </c>
    </row>
    <row r="982" spans="1:18" hidden="1" x14ac:dyDescent="0.25">
      <c r="A982" s="3">
        <f t="shared" si="61"/>
        <v>44761.590045532408</v>
      </c>
      <c r="B982" s="8" t="str">
        <f t="shared" si="62"/>
        <v>→</v>
      </c>
      <c r="C982" s="11">
        <f t="shared" si="63"/>
        <v>0.109</v>
      </c>
      <c r="D982" s="2">
        <v>1658203779934</v>
      </c>
      <c r="E982" t="s">
        <v>0</v>
      </c>
      <c r="F982" s="1">
        <v>5</v>
      </c>
      <c r="G982" s="1">
        <v>21</v>
      </c>
      <c r="H982" s="1">
        <v>31</v>
      </c>
      <c r="I982" s="1">
        <v>9</v>
      </c>
      <c r="J982" s="1">
        <v>60</v>
      </c>
      <c r="K982" s="1" t="s">
        <v>11</v>
      </c>
      <c r="R982" t="str">
        <f t="shared" si="64"/>
        <v>PING FURNACE</v>
      </c>
    </row>
    <row r="983" spans="1:18" hidden="1" x14ac:dyDescent="0.25">
      <c r="A983" s="3">
        <f t="shared" si="61"/>
        <v>44761.5900468287</v>
      </c>
      <c r="B983" s="8" t="str">
        <f t="shared" si="62"/>
        <v>←</v>
      </c>
      <c r="C983" s="11">
        <f t="shared" si="63"/>
        <v>0.112</v>
      </c>
      <c r="D983" s="2">
        <v>1658203780046</v>
      </c>
      <c r="E983" t="s">
        <v>0</v>
      </c>
      <c r="F983" s="1">
        <v>5</v>
      </c>
      <c r="G983" s="1">
        <v>31</v>
      </c>
      <c r="H983" s="1">
        <v>21</v>
      </c>
      <c r="I983" s="1" t="s">
        <v>6</v>
      </c>
      <c r="J983" s="1">
        <v>3</v>
      </c>
      <c r="K983" s="1" t="s">
        <v>7</v>
      </c>
      <c r="R983" t="str">
        <f t="shared" si="64"/>
        <v>Ack</v>
      </c>
    </row>
    <row r="984" spans="1:18" hidden="1" x14ac:dyDescent="0.25">
      <c r="A984" s="3">
        <f t="shared" si="61"/>
        <v>44761.590048495367</v>
      </c>
      <c r="B984" s="8" t="str">
        <f t="shared" si="62"/>
        <v>→</v>
      </c>
      <c r="C984" s="11">
        <f t="shared" si="63"/>
        <v>0.14399999999999999</v>
      </c>
      <c r="D984" s="2">
        <v>1658203780190</v>
      </c>
      <c r="E984" t="s">
        <v>0</v>
      </c>
      <c r="F984" s="1" t="s">
        <v>3</v>
      </c>
      <c r="G984" s="1">
        <v>21</v>
      </c>
      <c r="H984" s="1">
        <v>31</v>
      </c>
      <c r="I984" s="1" t="s">
        <v>3</v>
      </c>
      <c r="J984" s="1">
        <v>0</v>
      </c>
      <c r="K984" s="1">
        <v>12</v>
      </c>
      <c r="L984" s="1">
        <v>25</v>
      </c>
      <c r="M984" s="1">
        <v>1</v>
      </c>
      <c r="N984" s="1">
        <v>0</v>
      </c>
      <c r="O984" s="1">
        <v>0</v>
      </c>
      <c r="P984" s="1">
        <v>32</v>
      </c>
      <c r="Q984" s="1">
        <v>81</v>
      </c>
      <c r="R984" t="str">
        <f t="shared" si="64"/>
        <v>TEMPERATURE INFO Set:18 Actual:18.5 Countdown:0</v>
      </c>
    </row>
    <row r="985" spans="1:18" hidden="1" x14ac:dyDescent="0.25">
      <c r="A985" s="3">
        <f t="shared" si="61"/>
        <v>44761.590049837956</v>
      </c>
      <c r="B985" s="8" t="str">
        <f t="shared" si="62"/>
        <v>←</v>
      </c>
      <c r="C985" s="11">
        <f t="shared" si="63"/>
        <v>0.11600000000000001</v>
      </c>
      <c r="D985" s="2">
        <v>1658203780306</v>
      </c>
      <c r="E985" t="s">
        <v>0</v>
      </c>
      <c r="F985" s="1">
        <v>5</v>
      </c>
      <c r="G985" s="1">
        <v>31</v>
      </c>
      <c r="H985" s="1">
        <v>21</v>
      </c>
      <c r="I985" s="1" t="s">
        <v>6</v>
      </c>
      <c r="J985" s="1">
        <v>3</v>
      </c>
      <c r="K985" s="1" t="s">
        <v>7</v>
      </c>
      <c r="R985" t="str">
        <f t="shared" si="64"/>
        <v>Ack</v>
      </c>
    </row>
    <row r="986" spans="1:18" x14ac:dyDescent="0.25">
      <c r="A986" s="3">
        <f t="shared" si="61"/>
        <v>44761.590051041661</v>
      </c>
      <c r="B986" s="8" t="str">
        <f t="shared" si="62"/>
        <v>→</v>
      </c>
      <c r="C986" s="11">
        <f t="shared" si="63"/>
        <v>0.104</v>
      </c>
      <c r="D986" s="2">
        <v>1658203780410</v>
      </c>
      <c r="E986" t="s">
        <v>0</v>
      </c>
      <c r="F986" s="1">
        <v>6</v>
      </c>
      <c r="G986" s="1">
        <v>21</v>
      </c>
      <c r="H986" s="1">
        <v>31</v>
      </c>
      <c r="I986" s="1">
        <v>29</v>
      </c>
      <c r="J986" s="1">
        <v>0</v>
      </c>
      <c r="K986" s="1" t="s">
        <v>13</v>
      </c>
      <c r="L986" s="1" t="s">
        <v>14</v>
      </c>
      <c r="R986" t="str">
        <f t="shared" si="64"/>
        <v>LONG PING FURNACE</v>
      </c>
    </row>
    <row r="987" spans="1:18" hidden="1" x14ac:dyDescent="0.25">
      <c r="A987" s="3">
        <f t="shared" si="61"/>
        <v>44761.590052337961</v>
      </c>
      <c r="B987" s="8" t="str">
        <f t="shared" si="62"/>
        <v>←</v>
      </c>
      <c r="C987" s="11">
        <f t="shared" si="63"/>
        <v>0.112</v>
      </c>
      <c r="D987" s="2">
        <v>1658203780522</v>
      </c>
      <c r="E987" t="s">
        <v>0</v>
      </c>
      <c r="F987" s="1">
        <v>5</v>
      </c>
      <c r="G987" s="1">
        <v>31</v>
      </c>
      <c r="H987" s="1">
        <v>21</v>
      </c>
      <c r="I987" s="1" t="s">
        <v>6</v>
      </c>
      <c r="J987" s="1">
        <v>3</v>
      </c>
      <c r="K987" s="1" t="s">
        <v>7</v>
      </c>
      <c r="R987" t="str">
        <f t="shared" si="64"/>
        <v>Ack</v>
      </c>
    </row>
    <row r="988" spans="1:18" hidden="1" x14ac:dyDescent="0.25">
      <c r="A988" s="3">
        <f t="shared" si="61"/>
        <v>44761.590053541666</v>
      </c>
      <c r="B988" s="8" t="str">
        <f t="shared" si="62"/>
        <v>→</v>
      </c>
      <c r="C988" s="11">
        <f t="shared" si="63"/>
        <v>0.104</v>
      </c>
      <c r="D988" s="2">
        <v>1658203780626</v>
      </c>
      <c r="E988" t="s">
        <v>0</v>
      </c>
      <c r="F988" s="1">
        <v>5</v>
      </c>
      <c r="G988" s="1">
        <v>21</v>
      </c>
      <c r="H988" s="1">
        <v>31</v>
      </c>
      <c r="I988" s="1">
        <v>6</v>
      </c>
      <c r="J988" s="1">
        <v>60</v>
      </c>
      <c r="K988" s="1">
        <v>83</v>
      </c>
      <c r="R988" t="str">
        <f t="shared" si="64"/>
        <v>FURNACE STATUS REQUEST</v>
      </c>
    </row>
    <row r="989" spans="1:18" hidden="1" x14ac:dyDescent="0.25">
      <c r="A989" s="3">
        <f t="shared" si="61"/>
        <v>44761.59005525463</v>
      </c>
      <c r="B989" s="8" t="str">
        <f t="shared" si="62"/>
        <v>←</v>
      </c>
      <c r="C989" s="11">
        <f t="shared" si="63"/>
        <v>0.14799999999999999</v>
      </c>
      <c r="D989" s="2">
        <v>1658203780774</v>
      </c>
      <c r="E989" t="s">
        <v>0</v>
      </c>
      <c r="F989" s="1">
        <v>9</v>
      </c>
      <c r="G989" s="1">
        <v>31</v>
      </c>
      <c r="H989" s="1">
        <v>21</v>
      </c>
      <c r="I989" s="1" t="s">
        <v>1</v>
      </c>
      <c r="J989" s="1">
        <v>0</v>
      </c>
      <c r="K989" s="1">
        <v>0</v>
      </c>
      <c r="L989" s="1">
        <v>0</v>
      </c>
      <c r="M989" s="1">
        <v>0</v>
      </c>
      <c r="N989" s="1" t="s">
        <v>21</v>
      </c>
      <c r="O989" s="1" t="s">
        <v>22</v>
      </c>
      <c r="R989" t="str">
        <f t="shared" si="64"/>
        <v>FURNACE STATUS RESPONSE Fan:0 Ignition:0 Burner:0 Unknown:0</v>
      </c>
    </row>
    <row r="990" spans="1:18" hidden="1" x14ac:dyDescent="0.25">
      <c r="A990" s="3">
        <f t="shared" si="61"/>
        <v>44761.590737546292</v>
      </c>
      <c r="B990" s="8" t="str">
        <f t="shared" si="62"/>
        <v>→</v>
      </c>
      <c r="C990" s="11">
        <f t="shared" si="63"/>
        <v>58.95</v>
      </c>
      <c r="D990" s="2">
        <v>1658203839724</v>
      </c>
      <c r="E990" t="s">
        <v>0</v>
      </c>
      <c r="F990" s="1">
        <v>8</v>
      </c>
      <c r="G990" s="1">
        <v>21</v>
      </c>
      <c r="H990" s="1">
        <v>31</v>
      </c>
      <c r="I990" s="1">
        <v>7</v>
      </c>
      <c r="J990" s="1" t="s">
        <v>72</v>
      </c>
      <c r="K990" s="1">
        <v>5</v>
      </c>
      <c r="L990" s="1">
        <v>1</v>
      </c>
      <c r="M990" s="1" t="s">
        <v>101</v>
      </c>
      <c r="N990" s="1">
        <v>87</v>
      </c>
      <c r="R990" t="str">
        <f t="shared" si="64"/>
        <v>TIME 14:5 Tue</v>
      </c>
    </row>
    <row r="991" spans="1:18" hidden="1" x14ac:dyDescent="0.25">
      <c r="A991" s="3">
        <f t="shared" si="61"/>
        <v>44761.590738738429</v>
      </c>
      <c r="B991" s="8" t="str">
        <f t="shared" si="62"/>
        <v>←</v>
      </c>
      <c r="C991" s="11">
        <f t="shared" si="63"/>
        <v>0.10299999999999999</v>
      </c>
      <c r="D991" s="2">
        <v>1658203839827</v>
      </c>
      <c r="E991" t="s">
        <v>0</v>
      </c>
      <c r="F991" s="1">
        <v>5</v>
      </c>
      <c r="G991" s="1">
        <v>31</v>
      </c>
      <c r="H991" s="1">
        <v>21</v>
      </c>
      <c r="I991" s="1" t="s">
        <v>6</v>
      </c>
      <c r="J991" s="1">
        <v>3</v>
      </c>
      <c r="K991" s="1" t="s">
        <v>7</v>
      </c>
      <c r="R991" t="str">
        <f t="shared" si="64"/>
        <v>Ack</v>
      </c>
    </row>
    <row r="992" spans="1:18" hidden="1" x14ac:dyDescent="0.25">
      <c r="A992" s="3">
        <f t="shared" si="61"/>
        <v>44761.590739988424</v>
      </c>
      <c r="B992" s="8" t="str">
        <f t="shared" si="62"/>
        <v>→</v>
      </c>
      <c r="C992" s="11">
        <f t="shared" si="63"/>
        <v>0.108</v>
      </c>
      <c r="D992" s="2">
        <v>1658203839935</v>
      </c>
      <c r="E992" t="s">
        <v>0</v>
      </c>
      <c r="F992" s="1">
        <v>5</v>
      </c>
      <c r="G992" s="1">
        <v>21</v>
      </c>
      <c r="H992" s="1">
        <v>31</v>
      </c>
      <c r="I992" s="1">
        <v>9</v>
      </c>
      <c r="J992" s="1">
        <v>60</v>
      </c>
      <c r="K992" s="1" t="s">
        <v>11</v>
      </c>
      <c r="R992" t="str">
        <f t="shared" si="64"/>
        <v>PING FURNACE</v>
      </c>
    </row>
    <row r="993" spans="1:18" hidden="1" x14ac:dyDescent="0.25">
      <c r="A993" s="3">
        <f t="shared" si="61"/>
        <v>44761.590741377317</v>
      </c>
      <c r="B993" s="8" t="str">
        <f t="shared" si="62"/>
        <v>←</v>
      </c>
      <c r="C993" s="11">
        <f t="shared" si="63"/>
        <v>0.12</v>
      </c>
      <c r="D993" s="2">
        <v>1658203840055</v>
      </c>
      <c r="E993" t="s">
        <v>0</v>
      </c>
      <c r="F993" s="1">
        <v>5</v>
      </c>
      <c r="G993" s="1">
        <v>31</v>
      </c>
      <c r="H993" s="1">
        <v>21</v>
      </c>
      <c r="I993" s="1" t="s">
        <v>6</v>
      </c>
      <c r="J993" s="1">
        <v>3</v>
      </c>
      <c r="K993" s="1" t="s">
        <v>7</v>
      </c>
      <c r="R993" t="str">
        <f t="shared" si="64"/>
        <v>Ack</v>
      </c>
    </row>
    <row r="994" spans="1:18" hidden="1" x14ac:dyDescent="0.25">
      <c r="A994" s="3">
        <f t="shared" ref="A994:A1057" si="65">D994/(1000*60*60*24)+25569+10/24</f>
        <v>44761.590743379631</v>
      </c>
      <c r="B994" s="8" t="str">
        <f t="shared" ref="B994:B1057" si="66">IF(AND(G994=21,H994=31),"→",IF(AND(G994=31,H994=21),"←","Error"))</f>
        <v>→</v>
      </c>
      <c r="C994" s="11">
        <f t="shared" ref="C994:C1057" si="67">(D994-D993)/1000</f>
        <v>0.17299999999999999</v>
      </c>
      <c r="D994" s="2">
        <v>1658203840228</v>
      </c>
      <c r="E994" t="s">
        <v>0</v>
      </c>
      <c r="F994" s="1" t="s">
        <v>3</v>
      </c>
      <c r="G994" s="1">
        <v>21</v>
      </c>
      <c r="H994" s="1">
        <v>31</v>
      </c>
      <c r="I994" s="1" t="s">
        <v>3</v>
      </c>
      <c r="J994" s="1">
        <v>0</v>
      </c>
      <c r="K994" s="1">
        <v>12</v>
      </c>
      <c r="L994" s="1">
        <v>25</v>
      </c>
      <c r="M994" s="1">
        <v>1</v>
      </c>
      <c r="N994" s="1">
        <v>0</v>
      </c>
      <c r="O994" s="1">
        <v>0</v>
      </c>
      <c r="P994" s="1">
        <v>32</v>
      </c>
      <c r="Q994" s="1">
        <v>81</v>
      </c>
      <c r="R994" t="str">
        <f t="shared" si="64"/>
        <v>TEMPERATURE INFO Set:18 Actual:18.5 Countdown:0</v>
      </c>
    </row>
    <row r="995" spans="1:18" hidden="1" x14ac:dyDescent="0.25">
      <c r="A995" s="3">
        <f t="shared" si="65"/>
        <v>44761.590744618057</v>
      </c>
      <c r="B995" s="8" t="str">
        <f t="shared" si="66"/>
        <v>←</v>
      </c>
      <c r="C995" s="11">
        <f t="shared" si="67"/>
        <v>0.107</v>
      </c>
      <c r="D995" s="2">
        <v>1658203840335</v>
      </c>
      <c r="E995" t="s">
        <v>0</v>
      </c>
      <c r="F995" s="1">
        <v>5</v>
      </c>
      <c r="G995" s="1">
        <v>31</v>
      </c>
      <c r="H995" s="1">
        <v>21</v>
      </c>
      <c r="I995" s="1" t="s">
        <v>6</v>
      </c>
      <c r="J995" s="1">
        <v>3</v>
      </c>
      <c r="K995" s="1" t="s">
        <v>7</v>
      </c>
      <c r="R995" t="str">
        <f t="shared" si="64"/>
        <v>Ack</v>
      </c>
    </row>
    <row r="996" spans="1:18" x14ac:dyDescent="0.25">
      <c r="A996" s="3">
        <f t="shared" si="65"/>
        <v>44761.590746006943</v>
      </c>
      <c r="B996" s="8" t="str">
        <f t="shared" si="66"/>
        <v>→</v>
      </c>
      <c r="C996" s="11">
        <f t="shared" si="67"/>
        <v>0.12</v>
      </c>
      <c r="D996" s="2">
        <v>1658203840455</v>
      </c>
      <c r="E996" t="s">
        <v>0</v>
      </c>
      <c r="F996" s="1">
        <v>6</v>
      </c>
      <c r="G996" s="1">
        <v>21</v>
      </c>
      <c r="H996" s="1">
        <v>31</v>
      </c>
      <c r="I996" s="1">
        <v>29</v>
      </c>
      <c r="J996" s="1">
        <v>0</v>
      </c>
      <c r="K996" s="1" t="s">
        <v>13</v>
      </c>
      <c r="L996" s="1" t="s">
        <v>14</v>
      </c>
      <c r="R996" t="str">
        <f t="shared" si="64"/>
        <v>LONG PING FURNACE</v>
      </c>
    </row>
    <row r="997" spans="1:18" hidden="1" x14ac:dyDescent="0.25">
      <c r="A997" s="3">
        <f t="shared" si="65"/>
        <v>44761.590747754628</v>
      </c>
      <c r="B997" s="8" t="str">
        <f t="shared" si="66"/>
        <v>←</v>
      </c>
      <c r="C997" s="11">
        <f t="shared" si="67"/>
        <v>0.151</v>
      </c>
      <c r="D997" s="2">
        <v>1658203840606</v>
      </c>
      <c r="E997" t="s">
        <v>0</v>
      </c>
      <c r="F997" s="1">
        <v>5</v>
      </c>
      <c r="G997" s="1">
        <v>31</v>
      </c>
      <c r="H997" s="1">
        <v>21</v>
      </c>
      <c r="I997" s="1" t="s">
        <v>6</v>
      </c>
      <c r="J997" s="1">
        <v>3</v>
      </c>
      <c r="K997" s="1" t="s">
        <v>7</v>
      </c>
      <c r="R997" t="str">
        <f t="shared" si="64"/>
        <v>Ack</v>
      </c>
    </row>
    <row r="998" spans="1:18" hidden="1" x14ac:dyDescent="0.25">
      <c r="A998" s="3">
        <f t="shared" si="65"/>
        <v>44761.590748831011</v>
      </c>
      <c r="B998" s="8" t="str">
        <f t="shared" si="66"/>
        <v>→</v>
      </c>
      <c r="C998" s="11">
        <f t="shared" si="67"/>
        <v>9.2999999999999999E-2</v>
      </c>
      <c r="D998" s="2">
        <v>1658203840699</v>
      </c>
      <c r="E998" t="s">
        <v>0</v>
      </c>
      <c r="F998" s="1">
        <v>5</v>
      </c>
      <c r="G998" s="1">
        <v>21</v>
      </c>
      <c r="H998" s="1">
        <v>31</v>
      </c>
      <c r="I998" s="1">
        <v>6</v>
      </c>
      <c r="J998" s="1">
        <v>60</v>
      </c>
      <c r="K998" s="1">
        <v>83</v>
      </c>
      <c r="R998" t="str">
        <f t="shared" si="64"/>
        <v>FURNACE STATUS REQUEST</v>
      </c>
    </row>
    <row r="999" spans="1:18" hidden="1" x14ac:dyDescent="0.25">
      <c r="A999" s="3">
        <f t="shared" si="65"/>
        <v>44761.590750115742</v>
      </c>
      <c r="B999" s="8" t="str">
        <f t="shared" si="66"/>
        <v>←</v>
      </c>
      <c r="C999" s="11">
        <f t="shared" si="67"/>
        <v>0.111</v>
      </c>
      <c r="D999" s="2">
        <v>1658203840810</v>
      </c>
      <c r="E999" t="s">
        <v>0</v>
      </c>
      <c r="F999" s="1">
        <v>9</v>
      </c>
      <c r="G999" s="1">
        <v>31</v>
      </c>
      <c r="H999" s="1">
        <v>21</v>
      </c>
      <c r="I999" s="1" t="s">
        <v>1</v>
      </c>
      <c r="J999" s="1">
        <v>0</v>
      </c>
      <c r="K999" s="1">
        <v>0</v>
      </c>
      <c r="L999" s="1">
        <v>0</v>
      </c>
      <c r="M999" s="1">
        <v>0</v>
      </c>
      <c r="N999" s="1" t="s">
        <v>21</v>
      </c>
      <c r="O999" s="1" t="s">
        <v>22</v>
      </c>
      <c r="R999" t="str">
        <f t="shared" si="64"/>
        <v>FURNACE STATUS RESPONSE Fan:0 Ignition:0 Burner:0 Unknown:0</v>
      </c>
    </row>
    <row r="1000" spans="1:18" hidden="1" x14ac:dyDescent="0.25">
      <c r="A1000" s="3">
        <f t="shared" si="65"/>
        <v>44761.591149513886</v>
      </c>
      <c r="B1000" s="8" t="str">
        <f t="shared" si="66"/>
        <v>→</v>
      </c>
      <c r="C1000" s="11">
        <f t="shared" si="67"/>
        <v>34.508000000000003</v>
      </c>
      <c r="D1000" s="2">
        <v>1658203875318</v>
      </c>
      <c r="E1000" t="s">
        <v>0</v>
      </c>
      <c r="F1000" s="1" t="s">
        <v>3</v>
      </c>
      <c r="G1000" s="1">
        <v>21</v>
      </c>
      <c r="H1000" s="1">
        <v>31</v>
      </c>
      <c r="I1000" s="1" t="s">
        <v>3</v>
      </c>
      <c r="J1000" s="1" t="s">
        <v>6</v>
      </c>
      <c r="K1000" s="1">
        <v>12</v>
      </c>
      <c r="L1000" s="1">
        <v>24</v>
      </c>
      <c r="M1000" s="1">
        <v>1</v>
      </c>
      <c r="N1000" s="1" t="s">
        <v>4</v>
      </c>
      <c r="O1000" s="1">
        <v>0</v>
      </c>
      <c r="P1000" s="1">
        <v>36</v>
      </c>
      <c r="Q1000" s="1">
        <v>78</v>
      </c>
      <c r="R1000" t="str">
        <f t="shared" si="64"/>
        <v>TEMPERATURE INFO Set:18 Actual:18 Countdown:180</v>
      </c>
    </row>
    <row r="1001" spans="1:18" hidden="1" x14ac:dyDescent="0.25">
      <c r="A1001" s="3">
        <f t="shared" si="65"/>
        <v>44761.591150763888</v>
      </c>
      <c r="B1001" s="8" t="str">
        <f t="shared" si="66"/>
        <v>←</v>
      </c>
      <c r="C1001" s="11">
        <f t="shared" si="67"/>
        <v>0.108</v>
      </c>
      <c r="D1001" s="2">
        <v>1658203875426</v>
      </c>
      <c r="E1001" t="s">
        <v>0</v>
      </c>
      <c r="F1001" s="1">
        <v>5</v>
      </c>
      <c r="G1001" s="1">
        <v>31</v>
      </c>
      <c r="H1001" s="1">
        <v>21</v>
      </c>
      <c r="I1001" s="1" t="s">
        <v>6</v>
      </c>
      <c r="J1001" s="1">
        <v>3</v>
      </c>
      <c r="K1001" s="1" t="s">
        <v>7</v>
      </c>
      <c r="R1001" t="str">
        <f t="shared" si="64"/>
        <v>Ack</v>
      </c>
    </row>
    <row r="1002" spans="1:18" hidden="1" x14ac:dyDescent="0.25">
      <c r="A1002" s="3">
        <f t="shared" si="65"/>
        <v>44761.591152905086</v>
      </c>
      <c r="B1002" s="8" t="str">
        <f t="shared" si="66"/>
        <v>←</v>
      </c>
      <c r="C1002" s="11">
        <f t="shared" si="67"/>
        <v>0.185</v>
      </c>
      <c r="D1002" s="2">
        <v>1658203875611</v>
      </c>
      <c r="E1002" t="s">
        <v>0</v>
      </c>
      <c r="F1002" s="1">
        <v>9</v>
      </c>
      <c r="G1002" s="1">
        <v>31</v>
      </c>
      <c r="H1002" s="1">
        <v>21</v>
      </c>
      <c r="I1002" s="1">
        <v>5</v>
      </c>
      <c r="J1002" s="1">
        <v>0</v>
      </c>
      <c r="K1002" s="1">
        <v>23</v>
      </c>
      <c r="L1002" s="1">
        <v>0</v>
      </c>
      <c r="M1002" s="1">
        <v>0</v>
      </c>
      <c r="N1002" s="1" t="s">
        <v>8</v>
      </c>
      <c r="O1002" s="1">
        <v>20</v>
      </c>
      <c r="R1002" t="str">
        <f t="shared" si="64"/>
        <v>FURNACE STATUS REPORT Fan:1 Ignition:1 Burner:0 Unknown:20</v>
      </c>
    </row>
    <row r="1003" spans="1:18" hidden="1" x14ac:dyDescent="0.25">
      <c r="A1003" s="3">
        <f t="shared" si="65"/>
        <v>44761.591154085647</v>
      </c>
      <c r="B1003" s="8" t="str">
        <f t="shared" si="66"/>
        <v>→</v>
      </c>
      <c r="C1003" s="11">
        <f t="shared" si="67"/>
        <v>0.10199999999999999</v>
      </c>
      <c r="D1003" s="2">
        <v>1658203875713</v>
      </c>
      <c r="E1003" t="s">
        <v>0</v>
      </c>
      <c r="F1003" s="1">
        <v>5</v>
      </c>
      <c r="G1003" s="1">
        <v>21</v>
      </c>
      <c r="H1003" s="1">
        <v>31</v>
      </c>
      <c r="I1003" s="1" t="s">
        <v>6</v>
      </c>
      <c r="J1003" s="1">
        <v>62</v>
      </c>
      <c r="K1003" s="1">
        <v>95</v>
      </c>
      <c r="R1003" t="str">
        <f t="shared" si="64"/>
        <v>Ack</v>
      </c>
    </row>
    <row r="1004" spans="1:18" hidden="1" x14ac:dyDescent="0.25">
      <c r="A1004" s="3">
        <f t="shared" si="65"/>
        <v>44761.591323611108</v>
      </c>
      <c r="B1004" s="8" t="str">
        <f t="shared" si="66"/>
        <v>←</v>
      </c>
      <c r="C1004" s="11">
        <f t="shared" si="67"/>
        <v>14.647</v>
      </c>
      <c r="D1004" s="2">
        <v>1658203890360</v>
      </c>
      <c r="E1004" t="s">
        <v>0</v>
      </c>
      <c r="F1004" s="1">
        <v>9</v>
      </c>
      <c r="G1004" s="1">
        <v>31</v>
      </c>
      <c r="H1004" s="1">
        <v>21</v>
      </c>
      <c r="I1004" s="1">
        <v>5</v>
      </c>
      <c r="J1004" s="1">
        <v>0</v>
      </c>
      <c r="K1004" s="1">
        <v>33</v>
      </c>
      <c r="L1004" s="1">
        <v>0</v>
      </c>
      <c r="M1004" s="1">
        <v>0</v>
      </c>
      <c r="N1004" s="1">
        <v>58</v>
      </c>
      <c r="O1004" s="1">
        <v>63</v>
      </c>
      <c r="R1004" t="str">
        <f t="shared" si="64"/>
        <v>FURNACE STATUS REPORT Fan:1 Ignition:1 Burner:0 Unknown:30</v>
      </c>
    </row>
    <row r="1005" spans="1:18" hidden="1" x14ac:dyDescent="0.25">
      <c r="A1005" s="3">
        <f t="shared" si="65"/>
        <v>44761.591324374996</v>
      </c>
      <c r="B1005" s="8" t="str">
        <f t="shared" si="66"/>
        <v>→</v>
      </c>
      <c r="C1005" s="11">
        <f t="shared" si="67"/>
        <v>6.6000000000000003E-2</v>
      </c>
      <c r="D1005" s="2">
        <v>1658203890426</v>
      </c>
      <c r="E1005" t="s">
        <v>0</v>
      </c>
      <c r="F1005" s="1">
        <v>5</v>
      </c>
      <c r="G1005" s="1">
        <v>21</v>
      </c>
      <c r="H1005" s="1">
        <v>31</v>
      </c>
      <c r="I1005" s="1" t="s">
        <v>6</v>
      </c>
      <c r="J1005" s="1">
        <v>62</v>
      </c>
      <c r="K1005" s="1">
        <v>95</v>
      </c>
      <c r="R1005" t="str">
        <f t="shared" si="64"/>
        <v>Ack</v>
      </c>
    </row>
    <row r="1006" spans="1:18" hidden="1" x14ac:dyDescent="0.25">
      <c r="A1006" s="3">
        <f t="shared" si="65"/>
        <v>44761.591418101852</v>
      </c>
      <c r="B1006" s="8" t="str">
        <f t="shared" si="66"/>
        <v>←</v>
      </c>
      <c r="C1006" s="11">
        <f t="shared" si="67"/>
        <v>8.0980000000000008</v>
      </c>
      <c r="D1006" s="2">
        <v>1658203898524</v>
      </c>
      <c r="E1006" t="s">
        <v>0</v>
      </c>
      <c r="F1006" s="1">
        <v>9</v>
      </c>
      <c r="G1006" s="1">
        <v>31</v>
      </c>
      <c r="H1006" s="1">
        <v>21</v>
      </c>
      <c r="I1006" s="1">
        <v>5</v>
      </c>
      <c r="J1006" s="1">
        <v>0</v>
      </c>
      <c r="K1006" s="1">
        <v>37</v>
      </c>
      <c r="L1006" s="1">
        <v>0</v>
      </c>
      <c r="M1006" s="1">
        <v>0</v>
      </c>
      <c r="N1006" s="1" t="s">
        <v>26</v>
      </c>
      <c r="O1006" s="1">
        <v>30</v>
      </c>
      <c r="R1006" t="str">
        <f t="shared" si="64"/>
        <v>FURNACE STATUS REPORT Fan:1 Ignition:1 Burner:1 Unknown:30</v>
      </c>
    </row>
    <row r="1007" spans="1:18" hidden="1" x14ac:dyDescent="0.25">
      <c r="A1007" s="3">
        <f t="shared" si="65"/>
        <v>44761.591419143515</v>
      </c>
      <c r="B1007" s="8" t="str">
        <f t="shared" si="66"/>
        <v>→</v>
      </c>
      <c r="C1007" s="11">
        <f t="shared" si="67"/>
        <v>0.09</v>
      </c>
      <c r="D1007" s="2">
        <v>1658203898614</v>
      </c>
      <c r="E1007" t="s">
        <v>0</v>
      </c>
      <c r="F1007" s="1">
        <v>5</v>
      </c>
      <c r="G1007" s="1">
        <v>21</v>
      </c>
      <c r="H1007" s="1">
        <v>31</v>
      </c>
      <c r="I1007" s="1" t="s">
        <v>6</v>
      </c>
      <c r="J1007" s="1">
        <v>62</v>
      </c>
      <c r="K1007" s="1">
        <v>95</v>
      </c>
      <c r="R1007" t="str">
        <f t="shared" si="64"/>
        <v>Ack</v>
      </c>
    </row>
    <row r="1008" spans="1:18" hidden="1" x14ac:dyDescent="0.25">
      <c r="A1008" s="3">
        <f t="shared" si="65"/>
        <v>44761.591431921297</v>
      </c>
      <c r="B1008" s="8" t="str">
        <f t="shared" si="66"/>
        <v>→</v>
      </c>
      <c r="C1008" s="11">
        <f t="shared" si="67"/>
        <v>1.1040000000000001</v>
      </c>
      <c r="D1008" s="2">
        <v>1658203899718</v>
      </c>
      <c r="E1008" t="s">
        <v>0</v>
      </c>
      <c r="F1008" s="1">
        <v>8</v>
      </c>
      <c r="G1008" s="1">
        <v>21</v>
      </c>
      <c r="H1008" s="1">
        <v>31</v>
      </c>
      <c r="I1008" s="1">
        <v>7</v>
      </c>
      <c r="J1008" s="1" t="s">
        <v>72</v>
      </c>
      <c r="K1008" s="1">
        <v>6</v>
      </c>
      <c r="L1008" s="1">
        <v>1</v>
      </c>
      <c r="M1008" s="1">
        <v>80</v>
      </c>
      <c r="N1008" s="1">
        <v>87</v>
      </c>
      <c r="R1008" t="str">
        <f t="shared" si="64"/>
        <v>TIME 14:6 Tue</v>
      </c>
    </row>
    <row r="1009" spans="1:18" hidden="1" x14ac:dyDescent="0.25">
      <c r="A1009" s="3">
        <f t="shared" si="65"/>
        <v>44761.591433298607</v>
      </c>
      <c r="B1009" s="8" t="str">
        <f t="shared" si="66"/>
        <v>←</v>
      </c>
      <c r="C1009" s="11">
        <f t="shared" si="67"/>
        <v>0.11899999999999999</v>
      </c>
      <c r="D1009" s="2">
        <v>1658203899837</v>
      </c>
      <c r="E1009" t="s">
        <v>0</v>
      </c>
      <c r="F1009" s="1">
        <v>5</v>
      </c>
      <c r="G1009" s="1">
        <v>31</v>
      </c>
      <c r="H1009" s="1">
        <v>21</v>
      </c>
      <c r="I1009" s="1" t="s">
        <v>6</v>
      </c>
      <c r="J1009" s="1">
        <v>3</v>
      </c>
      <c r="K1009" s="1" t="s">
        <v>7</v>
      </c>
      <c r="R1009" t="str">
        <f t="shared" si="64"/>
        <v>Ack</v>
      </c>
    </row>
    <row r="1010" spans="1:18" hidden="1" x14ac:dyDescent="0.25">
      <c r="A1010" s="3">
        <f t="shared" si="65"/>
        <v>44761.591434456015</v>
      </c>
      <c r="B1010" s="8" t="str">
        <f t="shared" si="66"/>
        <v>→</v>
      </c>
      <c r="C1010" s="11">
        <f t="shared" si="67"/>
        <v>0.1</v>
      </c>
      <c r="D1010" s="2">
        <v>1658203899937</v>
      </c>
      <c r="E1010" t="s">
        <v>0</v>
      </c>
      <c r="F1010" s="1">
        <v>5</v>
      </c>
      <c r="G1010" s="1">
        <v>21</v>
      </c>
      <c r="H1010" s="1">
        <v>31</v>
      </c>
      <c r="I1010" s="1">
        <v>9</v>
      </c>
      <c r="J1010" s="1">
        <v>60</v>
      </c>
      <c r="K1010" s="1" t="s">
        <v>11</v>
      </c>
      <c r="R1010" t="str">
        <f t="shared" si="64"/>
        <v>PING FURNACE</v>
      </c>
    </row>
    <row r="1011" spans="1:18" hidden="1" x14ac:dyDescent="0.25">
      <c r="A1011" s="3">
        <f t="shared" si="65"/>
        <v>44761.591435868053</v>
      </c>
      <c r="B1011" s="8" t="str">
        <f t="shared" si="66"/>
        <v>←</v>
      </c>
      <c r="C1011" s="11">
        <f t="shared" si="67"/>
        <v>0.122</v>
      </c>
      <c r="D1011" s="2">
        <v>1658203900059</v>
      </c>
      <c r="E1011" t="s">
        <v>0</v>
      </c>
      <c r="F1011" s="1">
        <v>5</v>
      </c>
      <c r="G1011" s="1">
        <v>31</v>
      </c>
      <c r="H1011" s="1">
        <v>21</v>
      </c>
      <c r="I1011" s="1" t="s">
        <v>6</v>
      </c>
      <c r="J1011" s="1">
        <v>3</v>
      </c>
      <c r="K1011" s="1" t="s">
        <v>7</v>
      </c>
      <c r="R1011" t="str">
        <f t="shared" si="64"/>
        <v>Ack</v>
      </c>
    </row>
    <row r="1012" spans="1:18" hidden="1" x14ac:dyDescent="0.25">
      <c r="A1012" s="3">
        <f t="shared" si="65"/>
        <v>44761.591437627314</v>
      </c>
      <c r="B1012" s="8" t="str">
        <f t="shared" si="66"/>
        <v>→</v>
      </c>
      <c r="C1012" s="11">
        <f t="shared" si="67"/>
        <v>0.152</v>
      </c>
      <c r="D1012" s="2">
        <v>1658203900211</v>
      </c>
      <c r="E1012" t="s">
        <v>0</v>
      </c>
      <c r="F1012" s="1" t="s">
        <v>3</v>
      </c>
      <c r="G1012" s="1">
        <v>21</v>
      </c>
      <c r="H1012" s="1">
        <v>31</v>
      </c>
      <c r="I1012" s="1" t="s">
        <v>3</v>
      </c>
      <c r="J1012" s="1" t="s">
        <v>6</v>
      </c>
      <c r="K1012" s="1">
        <v>12</v>
      </c>
      <c r="L1012" s="1">
        <v>24</v>
      </c>
      <c r="M1012" s="1">
        <v>1</v>
      </c>
      <c r="N1012" s="1">
        <v>96</v>
      </c>
      <c r="O1012" s="1">
        <v>0</v>
      </c>
      <c r="P1012" s="1" t="s">
        <v>96</v>
      </c>
      <c r="Q1012" s="1">
        <v>78</v>
      </c>
      <c r="R1012" t="str">
        <f t="shared" si="64"/>
        <v>TEMPERATURE INFO Set:18 Actual:18 Countdown:150</v>
      </c>
    </row>
    <row r="1013" spans="1:18" hidden="1" x14ac:dyDescent="0.25">
      <c r="A1013" s="3">
        <f t="shared" si="65"/>
        <v>44761.5914390162</v>
      </c>
      <c r="B1013" s="8" t="str">
        <f t="shared" si="66"/>
        <v>←</v>
      </c>
      <c r="C1013" s="11">
        <f t="shared" si="67"/>
        <v>0.12</v>
      </c>
      <c r="D1013" s="2">
        <v>1658203900331</v>
      </c>
      <c r="E1013" t="s">
        <v>0</v>
      </c>
      <c r="F1013" s="1">
        <v>5</v>
      </c>
      <c r="G1013" s="1">
        <v>31</v>
      </c>
      <c r="H1013" s="1">
        <v>21</v>
      </c>
      <c r="I1013" s="1" t="s">
        <v>6</v>
      </c>
      <c r="J1013" s="1">
        <v>3</v>
      </c>
      <c r="K1013" s="1" t="s">
        <v>7</v>
      </c>
      <c r="R1013" t="str">
        <f t="shared" si="64"/>
        <v>Ack</v>
      </c>
    </row>
    <row r="1014" spans="1:18" x14ac:dyDescent="0.25">
      <c r="A1014" s="3">
        <f t="shared" si="65"/>
        <v>44761.591440219905</v>
      </c>
      <c r="B1014" s="8" t="str">
        <f t="shared" si="66"/>
        <v>→</v>
      </c>
      <c r="C1014" s="11">
        <f t="shared" si="67"/>
        <v>0.104</v>
      </c>
      <c r="D1014" s="2">
        <v>1658203900435</v>
      </c>
      <c r="E1014" t="s">
        <v>0</v>
      </c>
      <c r="F1014" s="1">
        <v>6</v>
      </c>
      <c r="G1014" s="1">
        <v>21</v>
      </c>
      <c r="H1014" s="1">
        <v>31</v>
      </c>
      <c r="I1014" s="1">
        <v>29</v>
      </c>
      <c r="J1014" s="1">
        <v>0</v>
      </c>
      <c r="K1014" s="1" t="s">
        <v>13</v>
      </c>
      <c r="L1014" s="1" t="s">
        <v>14</v>
      </c>
      <c r="R1014" t="str">
        <f t="shared" si="64"/>
        <v>LONG PING FURNACE</v>
      </c>
    </row>
    <row r="1015" spans="1:18" hidden="1" x14ac:dyDescent="0.25">
      <c r="A1015" s="3">
        <f t="shared" si="65"/>
        <v>44761.591441747682</v>
      </c>
      <c r="B1015" s="8" t="str">
        <f t="shared" si="66"/>
        <v>←</v>
      </c>
      <c r="C1015" s="11">
        <f t="shared" si="67"/>
        <v>0.13200000000000001</v>
      </c>
      <c r="D1015" s="2">
        <v>1658203900567</v>
      </c>
      <c r="E1015" t="s">
        <v>0</v>
      </c>
      <c r="F1015" s="1">
        <v>5</v>
      </c>
      <c r="G1015" s="1">
        <v>31</v>
      </c>
      <c r="H1015" s="1">
        <v>21</v>
      </c>
      <c r="I1015" s="1" t="s">
        <v>6</v>
      </c>
      <c r="J1015" s="1">
        <v>3</v>
      </c>
      <c r="K1015" s="1" t="s">
        <v>7</v>
      </c>
      <c r="R1015" t="str">
        <f t="shared" si="64"/>
        <v>Ack</v>
      </c>
    </row>
    <row r="1016" spans="1:18" hidden="1" x14ac:dyDescent="0.25">
      <c r="A1016" s="3">
        <f t="shared" si="65"/>
        <v>44761.591442696757</v>
      </c>
      <c r="B1016" s="8" t="str">
        <f t="shared" si="66"/>
        <v>→</v>
      </c>
      <c r="C1016" s="11">
        <f t="shared" si="67"/>
        <v>8.2000000000000003E-2</v>
      </c>
      <c r="D1016" s="2">
        <v>1658203900649</v>
      </c>
      <c r="E1016" t="s">
        <v>0</v>
      </c>
      <c r="F1016" s="1">
        <v>5</v>
      </c>
      <c r="G1016" s="1">
        <v>21</v>
      </c>
      <c r="H1016" s="1">
        <v>31</v>
      </c>
      <c r="I1016" s="1">
        <v>6</v>
      </c>
      <c r="J1016" s="1">
        <v>60</v>
      </c>
      <c r="K1016" s="1">
        <v>83</v>
      </c>
      <c r="R1016" t="str">
        <f t="shared" si="64"/>
        <v>FURNACE STATUS REQUEST</v>
      </c>
    </row>
    <row r="1017" spans="1:18" hidden="1" x14ac:dyDescent="0.25">
      <c r="A1017" s="3">
        <f t="shared" si="65"/>
        <v>44761.59144467592</v>
      </c>
      <c r="B1017" s="8" t="str">
        <f t="shared" si="66"/>
        <v>←</v>
      </c>
      <c r="C1017" s="11">
        <f t="shared" si="67"/>
        <v>0.17100000000000001</v>
      </c>
      <c r="D1017" s="2">
        <v>1658203900820</v>
      </c>
      <c r="E1017" t="s">
        <v>0</v>
      </c>
      <c r="F1017" s="1">
        <v>9</v>
      </c>
      <c r="G1017" s="1">
        <v>31</v>
      </c>
      <c r="H1017" s="1">
        <v>21</v>
      </c>
      <c r="I1017" s="1" t="s">
        <v>1</v>
      </c>
      <c r="J1017" s="1">
        <v>0</v>
      </c>
      <c r="K1017" s="1">
        <v>37</v>
      </c>
      <c r="L1017" s="1">
        <v>0</v>
      </c>
      <c r="M1017" s="1">
        <v>0</v>
      </c>
      <c r="N1017" s="1">
        <v>70</v>
      </c>
      <c r="O1017" s="1">
        <v>63</v>
      </c>
      <c r="R1017" t="str">
        <f t="shared" si="64"/>
        <v>FURNACE STATUS RESPONSE Fan:1 Ignition:1 Burner:1 Unknown:30</v>
      </c>
    </row>
    <row r="1018" spans="1:18" hidden="1" x14ac:dyDescent="0.25">
      <c r="A1018" s="3">
        <f t="shared" si="65"/>
        <v>44761.591464976846</v>
      </c>
      <c r="B1018" s="8" t="str">
        <f t="shared" si="66"/>
        <v>←</v>
      </c>
      <c r="C1018" s="11">
        <f t="shared" si="67"/>
        <v>1.754</v>
      </c>
      <c r="D1018" s="2">
        <v>1658203902574</v>
      </c>
      <c r="E1018" t="s">
        <v>0</v>
      </c>
      <c r="F1018" s="1">
        <v>9</v>
      </c>
      <c r="G1018" s="1">
        <v>31</v>
      </c>
      <c r="H1018" s="1">
        <v>21</v>
      </c>
      <c r="I1018" s="1">
        <v>5</v>
      </c>
      <c r="J1018" s="1">
        <v>0</v>
      </c>
      <c r="K1018" s="1">
        <v>36</v>
      </c>
      <c r="L1018" s="1">
        <v>0</v>
      </c>
      <c r="M1018" s="1">
        <v>0</v>
      </c>
      <c r="N1018" s="1">
        <v>58</v>
      </c>
      <c r="O1018" s="1">
        <v>27</v>
      </c>
      <c r="R1018" t="str">
        <f t="shared" si="64"/>
        <v>FURNACE STATUS REPORT Fan:0 Ignition:1 Burner:1 Unknown:30</v>
      </c>
    </row>
    <row r="1019" spans="1:18" hidden="1" x14ac:dyDescent="0.25">
      <c r="A1019" s="3">
        <f t="shared" si="65"/>
        <v>44761.591465937498</v>
      </c>
      <c r="B1019" s="8" t="str">
        <f t="shared" si="66"/>
        <v>→</v>
      </c>
      <c r="C1019" s="11">
        <f t="shared" si="67"/>
        <v>8.3000000000000004E-2</v>
      </c>
      <c r="D1019" s="2">
        <v>1658203902657</v>
      </c>
      <c r="E1019" t="s">
        <v>0</v>
      </c>
      <c r="F1019" s="1">
        <v>5</v>
      </c>
      <c r="G1019" s="1">
        <v>21</v>
      </c>
      <c r="H1019" s="1">
        <v>31</v>
      </c>
      <c r="I1019" s="1" t="s">
        <v>6</v>
      </c>
      <c r="J1019" s="1">
        <v>62</v>
      </c>
      <c r="K1019" s="1">
        <v>95</v>
      </c>
      <c r="R1019" t="str">
        <f t="shared" si="64"/>
        <v>Ack</v>
      </c>
    </row>
    <row r="1020" spans="1:18" hidden="1" x14ac:dyDescent="0.25">
      <c r="A1020" s="3">
        <f t="shared" si="65"/>
        <v>44761.591498090274</v>
      </c>
      <c r="B1020" s="8" t="str">
        <f t="shared" si="66"/>
        <v>←</v>
      </c>
      <c r="C1020" s="11">
        <f t="shared" si="67"/>
        <v>2.778</v>
      </c>
      <c r="D1020" s="2">
        <v>1658203905435</v>
      </c>
      <c r="E1020" t="s">
        <v>0</v>
      </c>
      <c r="F1020" s="1">
        <v>9</v>
      </c>
      <c r="G1020" s="1">
        <v>31</v>
      </c>
      <c r="H1020" s="1">
        <v>21</v>
      </c>
      <c r="I1020" s="1">
        <v>5</v>
      </c>
      <c r="J1020" s="1">
        <v>0</v>
      </c>
      <c r="K1020" s="1">
        <v>26</v>
      </c>
      <c r="L1020" s="1">
        <v>0</v>
      </c>
      <c r="M1020" s="1">
        <v>0</v>
      </c>
      <c r="N1020" s="1" t="s">
        <v>8</v>
      </c>
      <c r="O1020" s="1">
        <v>64</v>
      </c>
      <c r="R1020" t="str">
        <f t="shared" si="64"/>
        <v>FURNACE STATUS REPORT Fan:0 Ignition:1 Burner:1 Unknown:20</v>
      </c>
    </row>
    <row r="1021" spans="1:18" hidden="1" x14ac:dyDescent="0.25">
      <c r="A1021" s="3">
        <f t="shared" si="65"/>
        <v>44761.591499120368</v>
      </c>
      <c r="B1021" s="8" t="str">
        <f t="shared" si="66"/>
        <v>→</v>
      </c>
      <c r="C1021" s="11">
        <f t="shared" si="67"/>
        <v>8.8999999999999996E-2</v>
      </c>
      <c r="D1021" s="2">
        <v>1658203905524</v>
      </c>
      <c r="E1021" t="s">
        <v>0</v>
      </c>
      <c r="F1021" s="1">
        <v>5</v>
      </c>
      <c r="G1021" s="1">
        <v>21</v>
      </c>
      <c r="H1021" s="1">
        <v>31</v>
      </c>
      <c r="I1021" s="1" t="s">
        <v>6</v>
      </c>
      <c r="J1021" s="1">
        <v>62</v>
      </c>
      <c r="K1021" s="1">
        <v>95</v>
      </c>
      <c r="R1021" t="str">
        <f t="shared" si="64"/>
        <v>Ack</v>
      </c>
    </row>
    <row r="1022" spans="1:18" hidden="1" x14ac:dyDescent="0.25">
      <c r="A1022" s="3">
        <f t="shared" si="65"/>
        <v>44761.591580185188</v>
      </c>
      <c r="B1022" s="8" t="str">
        <f t="shared" si="66"/>
        <v>←</v>
      </c>
      <c r="C1022" s="11">
        <f t="shared" si="67"/>
        <v>7.0039999999999996</v>
      </c>
      <c r="D1022" s="2">
        <v>1658203912528</v>
      </c>
      <c r="E1022" t="s">
        <v>0</v>
      </c>
      <c r="F1022" s="1">
        <v>9</v>
      </c>
      <c r="G1022" s="1">
        <v>31</v>
      </c>
      <c r="H1022" s="1">
        <v>21</v>
      </c>
      <c r="I1022" s="1">
        <v>5</v>
      </c>
      <c r="J1022" s="1">
        <v>0</v>
      </c>
      <c r="K1022" s="1">
        <v>27</v>
      </c>
      <c r="L1022" s="1">
        <v>0</v>
      </c>
      <c r="M1022" s="1">
        <v>0</v>
      </c>
      <c r="N1022" s="1">
        <v>59</v>
      </c>
      <c r="O1022" s="1">
        <v>73</v>
      </c>
      <c r="R1022" t="str">
        <f t="shared" si="64"/>
        <v>FURNACE STATUS REPORT Fan:1 Ignition:1 Burner:1 Unknown:20</v>
      </c>
    </row>
    <row r="1023" spans="1:18" hidden="1" x14ac:dyDescent="0.25">
      <c r="A1023" s="3">
        <f t="shared" si="65"/>
        <v>44761.591581145833</v>
      </c>
      <c r="B1023" s="8" t="str">
        <f t="shared" si="66"/>
        <v>→</v>
      </c>
      <c r="C1023" s="11">
        <f t="shared" si="67"/>
        <v>8.3000000000000004E-2</v>
      </c>
      <c r="D1023" s="2">
        <v>1658203912611</v>
      </c>
      <c r="E1023" t="s">
        <v>0</v>
      </c>
      <c r="F1023" s="1">
        <v>5</v>
      </c>
      <c r="G1023" s="1">
        <v>21</v>
      </c>
      <c r="H1023" s="1">
        <v>31</v>
      </c>
      <c r="I1023" s="1" t="s">
        <v>6</v>
      </c>
      <c r="J1023" s="1">
        <v>62</v>
      </c>
      <c r="K1023" s="1">
        <v>95</v>
      </c>
      <c r="R1023" t="str">
        <f t="shared" si="64"/>
        <v>Ack</v>
      </c>
    </row>
    <row r="1024" spans="1:18" hidden="1" x14ac:dyDescent="0.25">
      <c r="A1024" s="3">
        <f t="shared" si="65"/>
        <v>44761.5921265625</v>
      </c>
      <c r="B1024" s="8" t="str">
        <f t="shared" si="66"/>
        <v>→</v>
      </c>
      <c r="C1024" s="11">
        <f t="shared" si="67"/>
        <v>47.124000000000002</v>
      </c>
      <c r="D1024" s="2">
        <v>1658203959735</v>
      </c>
      <c r="E1024" t="s">
        <v>0</v>
      </c>
      <c r="F1024" s="1">
        <v>8</v>
      </c>
      <c r="G1024" s="1">
        <v>21</v>
      </c>
      <c r="H1024" s="1">
        <v>31</v>
      </c>
      <c r="I1024" s="1">
        <v>7</v>
      </c>
      <c r="J1024" s="1" t="s">
        <v>72</v>
      </c>
      <c r="K1024" s="1">
        <v>7</v>
      </c>
      <c r="L1024" s="1">
        <v>1</v>
      </c>
      <c r="M1024" s="1">
        <v>6</v>
      </c>
      <c r="N1024" s="1">
        <v>84</v>
      </c>
      <c r="R1024" t="str">
        <f t="shared" si="64"/>
        <v>TIME 14:7 Tue</v>
      </c>
    </row>
    <row r="1025" spans="1:18" hidden="1" x14ac:dyDescent="0.25">
      <c r="A1025" s="3">
        <f t="shared" si="65"/>
        <v>44761.592128055556</v>
      </c>
      <c r="B1025" s="8" t="str">
        <f t="shared" si="66"/>
        <v>←</v>
      </c>
      <c r="C1025" s="11">
        <f t="shared" si="67"/>
        <v>0.129</v>
      </c>
      <c r="D1025" s="2">
        <v>1658203959864</v>
      </c>
      <c r="E1025" t="s">
        <v>0</v>
      </c>
      <c r="F1025" s="1">
        <v>5</v>
      </c>
      <c r="G1025" s="1">
        <v>31</v>
      </c>
      <c r="H1025" s="1">
        <v>21</v>
      </c>
      <c r="I1025" s="1" t="s">
        <v>6</v>
      </c>
      <c r="J1025" s="1">
        <v>3</v>
      </c>
      <c r="K1025" s="1" t="s">
        <v>7</v>
      </c>
      <c r="R1025" t="str">
        <f t="shared" si="64"/>
        <v>Ack</v>
      </c>
    </row>
    <row r="1026" spans="1:18" hidden="1" x14ac:dyDescent="0.25">
      <c r="A1026" s="3">
        <f t="shared" si="65"/>
        <v>44761.592129432865</v>
      </c>
      <c r="B1026" s="8" t="str">
        <f t="shared" si="66"/>
        <v>→</v>
      </c>
      <c r="C1026" s="11">
        <f t="shared" si="67"/>
        <v>0.11899999999999999</v>
      </c>
      <c r="D1026" s="2">
        <v>1658203959983</v>
      </c>
      <c r="E1026" t="s">
        <v>0</v>
      </c>
      <c r="F1026" s="1">
        <v>5</v>
      </c>
      <c r="G1026" s="1">
        <v>21</v>
      </c>
      <c r="H1026" s="1">
        <v>31</v>
      </c>
      <c r="I1026" s="1">
        <v>9</v>
      </c>
      <c r="J1026" s="1">
        <v>60</v>
      </c>
      <c r="K1026" s="1" t="s">
        <v>11</v>
      </c>
      <c r="R1026" t="str">
        <f t="shared" si="64"/>
        <v>PING FURNACE</v>
      </c>
    </row>
    <row r="1027" spans="1:18" hidden="1" x14ac:dyDescent="0.25">
      <c r="A1027" s="3">
        <f t="shared" si="65"/>
        <v>44761.592130636571</v>
      </c>
      <c r="B1027" s="8" t="str">
        <f t="shared" si="66"/>
        <v>←</v>
      </c>
      <c r="C1027" s="11">
        <f t="shared" si="67"/>
        <v>0.104</v>
      </c>
      <c r="D1027" s="2">
        <v>1658203960087</v>
      </c>
      <c r="E1027" t="s">
        <v>0</v>
      </c>
      <c r="F1027" s="1">
        <v>5</v>
      </c>
      <c r="G1027" s="1">
        <v>31</v>
      </c>
      <c r="H1027" s="1">
        <v>21</v>
      </c>
      <c r="I1027" s="1" t="s">
        <v>6</v>
      </c>
      <c r="J1027" s="1">
        <v>3</v>
      </c>
      <c r="K1027" s="1" t="s">
        <v>7</v>
      </c>
      <c r="R1027" t="str">
        <f t="shared" ref="R1027:R1083" si="68">IF(E1027="Ok",_xlfn.SWITCH(I1027,5,"FURNACE STATUS REPORT Fan:"&amp;IF(_xlfn.BITAND(HEX2DEC(K1027),1),"1","0")&amp;" Ignition:"&amp;IF(_xlfn.BITAND(HEX2DEC(K1027),2),"1","0")&amp;" Burner:"&amp;IF(_xlfn.BITAND(HEX2DEC(K1027),4),"1","0")&amp;" Unknown:"&amp;DEC2HEX(_xlfn.BITAND(HEX2DEC(K1027),248)),6,"FURNACE STATUS REQUEST",7,"TIME "&amp;HEX2DEC(J1027)&amp;":"&amp;HEX2DEC(K1027)&amp;" "&amp;CHOOSE(L1027+1,"Mon","Tue","Wed","Thu","Fri","Sat","Sun"),9,"PING FURNACE","0B","TEMPERATURE INFO Set:"&amp;HEX2DEC(K1027)&amp;" Actual:"&amp;HEX2DEC(L1027)/2&amp;" Countdown:"&amp;HEX2DEC(N1027),29,"LONG PING FURNACE","FB","FURNACE STATUS RESPONSE Fan:"&amp;IF(_xlfn.BITAND(HEX2DEC(K1027),1),"1","0")&amp;" Ignition:"&amp;IF(_xlfn.BITAND(HEX2DEC(K1027),2),"1","0")&amp;" Burner:"&amp;IF(_xlfn.BITAND(HEX2DEC(K1027),4),"1","0")&amp;" Unknown:"&amp;DEC2HEX(_xlfn.BITAND(HEX2DEC(K1027),248)),"FF","Ack"),"")</f>
        <v>Ack</v>
      </c>
    </row>
    <row r="1028" spans="1:18" hidden="1" x14ac:dyDescent="0.25">
      <c r="A1028" s="3">
        <f t="shared" si="65"/>
        <v>44761.592132488418</v>
      </c>
      <c r="B1028" s="8" t="str">
        <f t="shared" si="66"/>
        <v>→</v>
      </c>
      <c r="C1028" s="11">
        <f t="shared" si="67"/>
        <v>0.16</v>
      </c>
      <c r="D1028" s="2">
        <v>1658203960247</v>
      </c>
      <c r="E1028" t="s">
        <v>0</v>
      </c>
      <c r="F1028" s="1" t="s">
        <v>3</v>
      </c>
      <c r="G1028" s="1">
        <v>21</v>
      </c>
      <c r="H1028" s="1">
        <v>31</v>
      </c>
      <c r="I1028" s="1" t="s">
        <v>3</v>
      </c>
      <c r="J1028" s="1" t="s">
        <v>6</v>
      </c>
      <c r="K1028" s="1">
        <v>12</v>
      </c>
      <c r="L1028" s="1">
        <v>24</v>
      </c>
      <c r="M1028" s="1">
        <v>1</v>
      </c>
      <c r="N1028" s="1" t="s">
        <v>91</v>
      </c>
      <c r="O1028" s="1">
        <v>0</v>
      </c>
      <c r="P1028" s="1" t="s">
        <v>64</v>
      </c>
      <c r="Q1028" s="1">
        <v>77</v>
      </c>
      <c r="R1028" t="str">
        <f t="shared" si="68"/>
        <v>TEMPERATURE INFO Set:18 Actual:18 Countdown:90</v>
      </c>
    </row>
    <row r="1029" spans="1:18" hidden="1" x14ac:dyDescent="0.25">
      <c r="A1029" s="3">
        <f t="shared" si="65"/>
        <v>44761.592133854159</v>
      </c>
      <c r="B1029" s="8" t="str">
        <f t="shared" si="66"/>
        <v>←</v>
      </c>
      <c r="C1029" s="11">
        <f t="shared" si="67"/>
        <v>0.11799999999999999</v>
      </c>
      <c r="D1029" s="2">
        <v>1658203960365</v>
      </c>
      <c r="E1029" t="s">
        <v>0</v>
      </c>
      <c r="F1029" s="1">
        <v>5</v>
      </c>
      <c r="G1029" s="1">
        <v>31</v>
      </c>
      <c r="H1029" s="1">
        <v>21</v>
      </c>
      <c r="I1029" s="1" t="s">
        <v>6</v>
      </c>
      <c r="J1029" s="1">
        <v>3</v>
      </c>
      <c r="K1029" s="1" t="s">
        <v>7</v>
      </c>
      <c r="R1029" t="str">
        <f t="shared" si="68"/>
        <v>Ack</v>
      </c>
    </row>
    <row r="1030" spans="1:18" x14ac:dyDescent="0.25">
      <c r="A1030" s="3">
        <f t="shared" si="65"/>
        <v>44761.592134942126</v>
      </c>
      <c r="B1030" s="8" t="str">
        <f t="shared" si="66"/>
        <v>→</v>
      </c>
      <c r="C1030" s="11">
        <f t="shared" si="67"/>
        <v>9.4E-2</v>
      </c>
      <c r="D1030" s="2">
        <v>1658203960459</v>
      </c>
      <c r="E1030" t="s">
        <v>0</v>
      </c>
      <c r="F1030" s="1">
        <v>6</v>
      </c>
      <c r="G1030" s="1">
        <v>21</v>
      </c>
      <c r="H1030" s="1">
        <v>31</v>
      </c>
      <c r="I1030" s="1">
        <v>29</v>
      </c>
      <c r="J1030" s="1">
        <v>0</v>
      </c>
      <c r="K1030" s="1" t="s">
        <v>13</v>
      </c>
      <c r="L1030" s="1" t="s">
        <v>14</v>
      </c>
      <c r="R1030" t="str">
        <f t="shared" si="68"/>
        <v>LONG PING FURNACE</v>
      </c>
    </row>
    <row r="1031" spans="1:18" hidden="1" x14ac:dyDescent="0.25">
      <c r="A1031" s="3">
        <f t="shared" si="65"/>
        <v>44761.59213636574</v>
      </c>
      <c r="B1031" s="8" t="str">
        <f t="shared" si="66"/>
        <v>←</v>
      </c>
      <c r="C1031" s="11">
        <f t="shared" si="67"/>
        <v>0.123</v>
      </c>
      <c r="D1031" s="2">
        <v>1658203960582</v>
      </c>
      <c r="E1031" t="s">
        <v>0</v>
      </c>
      <c r="F1031" s="1">
        <v>5</v>
      </c>
      <c r="G1031" s="1">
        <v>31</v>
      </c>
      <c r="H1031" s="1">
        <v>21</v>
      </c>
      <c r="I1031" s="1" t="s">
        <v>6</v>
      </c>
      <c r="J1031" s="1">
        <v>3</v>
      </c>
      <c r="K1031" s="1" t="s">
        <v>7</v>
      </c>
      <c r="R1031" t="str">
        <f t="shared" si="68"/>
        <v>Ack</v>
      </c>
    </row>
    <row r="1032" spans="1:18" hidden="1" x14ac:dyDescent="0.25">
      <c r="A1032" s="3">
        <f t="shared" si="65"/>
        <v>44761.592137534717</v>
      </c>
      <c r="B1032" s="8" t="str">
        <f t="shared" si="66"/>
        <v>→</v>
      </c>
      <c r="C1032" s="11">
        <f t="shared" si="67"/>
        <v>0.10100000000000001</v>
      </c>
      <c r="D1032" s="2">
        <v>1658203960683</v>
      </c>
      <c r="E1032" t="s">
        <v>0</v>
      </c>
      <c r="F1032" s="1">
        <v>5</v>
      </c>
      <c r="G1032" s="1">
        <v>21</v>
      </c>
      <c r="H1032" s="1">
        <v>31</v>
      </c>
      <c r="I1032" s="1">
        <v>6</v>
      </c>
      <c r="J1032" s="1">
        <v>60</v>
      </c>
      <c r="K1032" s="1">
        <v>83</v>
      </c>
      <c r="R1032" t="str">
        <f t="shared" si="68"/>
        <v>FURNACE STATUS REQUEST</v>
      </c>
    </row>
    <row r="1033" spans="1:18" hidden="1" x14ac:dyDescent="0.25">
      <c r="A1033" s="3">
        <f t="shared" si="65"/>
        <v>44761.592139270833</v>
      </c>
      <c r="B1033" s="8" t="str">
        <f t="shared" si="66"/>
        <v>←</v>
      </c>
      <c r="C1033" s="11">
        <f t="shared" si="67"/>
        <v>0.15</v>
      </c>
      <c r="D1033" s="2">
        <v>1658203960833</v>
      </c>
      <c r="E1033" t="s">
        <v>0</v>
      </c>
      <c r="F1033" s="1">
        <v>9</v>
      </c>
      <c r="G1033" s="1">
        <v>31</v>
      </c>
      <c r="H1033" s="1">
        <v>21</v>
      </c>
      <c r="I1033" s="1" t="s">
        <v>1</v>
      </c>
      <c r="J1033" s="1">
        <v>0</v>
      </c>
      <c r="K1033" s="1">
        <v>27</v>
      </c>
      <c r="L1033" s="1">
        <v>0</v>
      </c>
      <c r="M1033" s="1">
        <v>0</v>
      </c>
      <c r="N1033" s="1" t="s">
        <v>2</v>
      </c>
      <c r="O1033" s="1">
        <v>20</v>
      </c>
      <c r="R1033" t="str">
        <f t="shared" si="68"/>
        <v>FURNACE STATUS RESPONSE Fan:1 Ignition:1 Burner:1 Unknown:20</v>
      </c>
    </row>
    <row r="1034" spans="1:18" hidden="1" x14ac:dyDescent="0.25">
      <c r="A1034" s="3">
        <f t="shared" si="65"/>
        <v>44761.592821284721</v>
      </c>
      <c r="B1034" s="8" t="str">
        <f t="shared" si="66"/>
        <v>→</v>
      </c>
      <c r="C1034" s="11">
        <f t="shared" si="67"/>
        <v>58.926000000000002</v>
      </c>
      <c r="D1034" s="2">
        <v>1658204019759</v>
      </c>
      <c r="E1034" t="s">
        <v>0</v>
      </c>
      <c r="F1034" s="1">
        <v>8</v>
      </c>
      <c r="G1034" s="1">
        <v>21</v>
      </c>
      <c r="H1034" s="1">
        <v>31</v>
      </c>
      <c r="I1034" s="1">
        <v>7</v>
      </c>
      <c r="J1034" s="1" t="s">
        <v>72</v>
      </c>
      <c r="K1034" s="1">
        <v>8</v>
      </c>
      <c r="L1034" s="1">
        <v>1</v>
      </c>
      <c r="M1034" s="1">
        <v>24</v>
      </c>
      <c r="N1034" s="1">
        <v>84</v>
      </c>
      <c r="R1034" t="str">
        <f t="shared" si="68"/>
        <v>TIME 14:8 Tue</v>
      </c>
    </row>
    <row r="1035" spans="1:18" hidden="1" x14ac:dyDescent="0.25">
      <c r="A1035" s="3">
        <f t="shared" si="65"/>
        <v>44761.592822546292</v>
      </c>
      <c r="B1035" s="8" t="str">
        <f t="shared" si="66"/>
        <v>←</v>
      </c>
      <c r="C1035" s="11">
        <f t="shared" si="67"/>
        <v>0.109</v>
      </c>
      <c r="D1035" s="2">
        <v>1658204019868</v>
      </c>
      <c r="E1035" t="s">
        <v>0</v>
      </c>
      <c r="F1035" s="1">
        <v>5</v>
      </c>
      <c r="G1035" s="1">
        <v>31</v>
      </c>
      <c r="H1035" s="1">
        <v>21</v>
      </c>
      <c r="I1035" s="1" t="s">
        <v>6</v>
      </c>
      <c r="J1035" s="1">
        <v>3</v>
      </c>
      <c r="K1035" s="1" t="s">
        <v>7</v>
      </c>
      <c r="R1035" t="str">
        <f t="shared" si="68"/>
        <v>Ack</v>
      </c>
    </row>
    <row r="1036" spans="1:18" hidden="1" x14ac:dyDescent="0.25">
      <c r="A1036" s="3">
        <f t="shared" si="65"/>
        <v>44761.59282380787</v>
      </c>
      <c r="B1036" s="8" t="str">
        <f t="shared" si="66"/>
        <v>→</v>
      </c>
      <c r="C1036" s="11">
        <f t="shared" si="67"/>
        <v>0.109</v>
      </c>
      <c r="D1036" s="2">
        <v>1658204019977</v>
      </c>
      <c r="E1036" t="s">
        <v>0</v>
      </c>
      <c r="F1036" s="1">
        <v>5</v>
      </c>
      <c r="G1036" s="1">
        <v>21</v>
      </c>
      <c r="H1036" s="1">
        <v>31</v>
      </c>
      <c r="I1036" s="1">
        <v>9</v>
      </c>
      <c r="J1036" s="1">
        <v>60</v>
      </c>
      <c r="K1036" s="1" t="s">
        <v>11</v>
      </c>
      <c r="R1036" t="str">
        <f t="shared" si="68"/>
        <v>PING FURNACE</v>
      </c>
    </row>
    <row r="1037" spans="1:18" hidden="1" x14ac:dyDescent="0.25">
      <c r="A1037" s="3">
        <f t="shared" si="65"/>
        <v>44761.592825173611</v>
      </c>
      <c r="B1037" s="8" t="str">
        <f t="shared" si="66"/>
        <v>←</v>
      </c>
      <c r="C1037" s="11">
        <f t="shared" si="67"/>
        <v>0.11799999999999999</v>
      </c>
      <c r="D1037" s="2">
        <v>1658204020095</v>
      </c>
      <c r="E1037" t="s">
        <v>0</v>
      </c>
      <c r="F1037" s="1">
        <v>5</v>
      </c>
      <c r="G1037" s="1">
        <v>31</v>
      </c>
      <c r="H1037" s="1">
        <v>21</v>
      </c>
      <c r="I1037" s="1" t="s">
        <v>6</v>
      </c>
      <c r="J1037" s="1">
        <v>3</v>
      </c>
      <c r="K1037" s="1" t="s">
        <v>7</v>
      </c>
      <c r="R1037" t="str">
        <f t="shared" si="68"/>
        <v>Ack</v>
      </c>
    </row>
    <row r="1038" spans="1:18" hidden="1" x14ac:dyDescent="0.25">
      <c r="A1038" s="3">
        <f t="shared" si="65"/>
        <v>44761.592827129629</v>
      </c>
      <c r="B1038" s="8" t="str">
        <f t="shared" si="66"/>
        <v>→</v>
      </c>
      <c r="C1038" s="11">
        <f t="shared" si="67"/>
        <v>0.16900000000000001</v>
      </c>
      <c r="D1038" s="2">
        <v>1658204020264</v>
      </c>
      <c r="E1038" t="s">
        <v>0</v>
      </c>
      <c r="F1038" s="1" t="s">
        <v>3</v>
      </c>
      <c r="G1038" s="1">
        <v>21</v>
      </c>
      <c r="H1038" s="1">
        <v>31</v>
      </c>
      <c r="I1038" s="1" t="s">
        <v>3</v>
      </c>
      <c r="J1038" s="1" t="s">
        <v>6</v>
      </c>
      <c r="K1038" s="1">
        <v>12</v>
      </c>
      <c r="L1038" s="1">
        <v>25</v>
      </c>
      <c r="M1038" s="1">
        <v>1</v>
      </c>
      <c r="N1038" s="1" t="s">
        <v>34</v>
      </c>
      <c r="O1038" s="1">
        <v>0</v>
      </c>
      <c r="P1038" s="1" t="s">
        <v>93</v>
      </c>
      <c r="Q1038" s="1">
        <v>71</v>
      </c>
      <c r="R1038" t="str">
        <f t="shared" si="68"/>
        <v>TEMPERATURE INFO Set:18 Actual:18.5 Countdown:30</v>
      </c>
    </row>
    <row r="1039" spans="1:18" hidden="1" x14ac:dyDescent="0.25">
      <c r="A1039" s="3">
        <f t="shared" si="65"/>
        <v>44761.592828333327</v>
      </c>
      <c r="B1039" s="8" t="str">
        <f t="shared" si="66"/>
        <v>←</v>
      </c>
      <c r="C1039" s="11">
        <f t="shared" si="67"/>
        <v>0.104</v>
      </c>
      <c r="D1039" s="2">
        <v>1658204020368</v>
      </c>
      <c r="E1039" t="s">
        <v>0</v>
      </c>
      <c r="F1039" s="1">
        <v>5</v>
      </c>
      <c r="G1039" s="1">
        <v>31</v>
      </c>
      <c r="H1039" s="1">
        <v>21</v>
      </c>
      <c r="I1039" s="1" t="s">
        <v>6</v>
      </c>
      <c r="J1039" s="1">
        <v>3</v>
      </c>
      <c r="K1039" s="1" t="s">
        <v>7</v>
      </c>
      <c r="R1039" t="str">
        <f t="shared" si="68"/>
        <v>Ack</v>
      </c>
    </row>
    <row r="1040" spans="1:18" x14ac:dyDescent="0.25">
      <c r="A1040" s="3">
        <f t="shared" si="65"/>
        <v>44761.592829537032</v>
      </c>
      <c r="B1040" s="8" t="str">
        <f t="shared" si="66"/>
        <v>→</v>
      </c>
      <c r="C1040" s="11">
        <f t="shared" si="67"/>
        <v>0.104</v>
      </c>
      <c r="D1040" s="2">
        <v>1658204020472</v>
      </c>
      <c r="E1040" t="s">
        <v>0</v>
      </c>
      <c r="F1040" s="1">
        <v>6</v>
      </c>
      <c r="G1040" s="1">
        <v>21</v>
      </c>
      <c r="H1040" s="1">
        <v>31</v>
      </c>
      <c r="I1040" s="1">
        <v>29</v>
      </c>
      <c r="J1040" s="1">
        <v>0</v>
      </c>
      <c r="K1040" s="1" t="s">
        <v>13</v>
      </c>
      <c r="L1040" s="1" t="s">
        <v>14</v>
      </c>
      <c r="R1040" t="str">
        <f t="shared" si="68"/>
        <v>LONG PING FURNACE</v>
      </c>
    </row>
    <row r="1041" spans="1:18" hidden="1" x14ac:dyDescent="0.25">
      <c r="A1041" s="3">
        <f t="shared" si="65"/>
        <v>44761.59283094907</v>
      </c>
      <c r="B1041" s="8" t="str">
        <f t="shared" si="66"/>
        <v>←</v>
      </c>
      <c r="C1041" s="11">
        <f t="shared" si="67"/>
        <v>0.122</v>
      </c>
      <c r="D1041" s="2">
        <v>1658204020594</v>
      </c>
      <c r="E1041" t="s">
        <v>0</v>
      </c>
      <c r="F1041" s="1">
        <v>5</v>
      </c>
      <c r="G1041" s="1">
        <v>31</v>
      </c>
      <c r="H1041" s="1">
        <v>21</v>
      </c>
      <c r="I1041" s="1" t="s">
        <v>6</v>
      </c>
      <c r="J1041" s="1">
        <v>3</v>
      </c>
      <c r="K1041" s="1" t="s">
        <v>7</v>
      </c>
      <c r="R1041" t="str">
        <f t="shared" si="68"/>
        <v>Ack</v>
      </c>
    </row>
    <row r="1042" spans="1:18" hidden="1" x14ac:dyDescent="0.25">
      <c r="A1042" s="3">
        <f t="shared" si="65"/>
        <v>44761.592832083326</v>
      </c>
      <c r="B1042" s="8" t="str">
        <f t="shared" si="66"/>
        <v>→</v>
      </c>
      <c r="C1042" s="11">
        <f t="shared" si="67"/>
        <v>9.8000000000000004E-2</v>
      </c>
      <c r="D1042" s="2">
        <v>1658204020692</v>
      </c>
      <c r="E1042" t="s">
        <v>0</v>
      </c>
      <c r="F1042" s="1">
        <v>5</v>
      </c>
      <c r="G1042" s="1">
        <v>21</v>
      </c>
      <c r="H1042" s="1">
        <v>31</v>
      </c>
      <c r="I1042" s="1">
        <v>6</v>
      </c>
      <c r="J1042" s="1">
        <v>60</v>
      </c>
      <c r="K1042" s="1">
        <v>83</v>
      </c>
      <c r="R1042" t="str">
        <f t="shared" si="68"/>
        <v>FURNACE STATUS REQUEST</v>
      </c>
    </row>
    <row r="1043" spans="1:18" hidden="1" x14ac:dyDescent="0.25">
      <c r="A1043" s="3">
        <f t="shared" si="65"/>
        <v>44761.592833877316</v>
      </c>
      <c r="B1043" s="8" t="str">
        <f t="shared" si="66"/>
        <v>←</v>
      </c>
      <c r="C1043" s="11">
        <f t="shared" si="67"/>
        <v>0.155</v>
      </c>
      <c r="D1043" s="2">
        <v>1658204020847</v>
      </c>
      <c r="E1043" t="s">
        <v>0</v>
      </c>
      <c r="F1043" s="1">
        <v>9</v>
      </c>
      <c r="G1043" s="1">
        <v>31</v>
      </c>
      <c r="H1043" s="1">
        <v>21</v>
      </c>
      <c r="I1043" s="1" t="s">
        <v>1</v>
      </c>
      <c r="J1043" s="1">
        <v>0</v>
      </c>
      <c r="K1043" s="1">
        <v>27</v>
      </c>
      <c r="L1043" s="1">
        <v>0</v>
      </c>
      <c r="M1043" s="1">
        <v>0</v>
      </c>
      <c r="N1043" s="1" t="s">
        <v>2</v>
      </c>
      <c r="O1043" s="1">
        <v>20</v>
      </c>
      <c r="R1043" t="str">
        <f t="shared" si="68"/>
        <v>FURNACE STATUS RESPONSE Fan:1 Ignition:1 Burner:1 Unknown:20</v>
      </c>
    </row>
    <row r="1044" spans="1:18" hidden="1" x14ac:dyDescent="0.25">
      <c r="A1044" s="3">
        <f t="shared" si="65"/>
        <v>44761.593132418981</v>
      </c>
      <c r="B1044" s="8" t="str">
        <f t="shared" si="66"/>
        <v>→</v>
      </c>
      <c r="C1044" s="11">
        <f t="shared" si="67"/>
        <v>25.794</v>
      </c>
      <c r="D1044" s="2">
        <v>1658204046641</v>
      </c>
      <c r="E1044" t="s">
        <v>0</v>
      </c>
      <c r="F1044" s="1" t="s">
        <v>3</v>
      </c>
      <c r="G1044" s="1">
        <v>21</v>
      </c>
      <c r="H1044" s="1">
        <v>31</v>
      </c>
      <c r="I1044" s="1" t="s">
        <v>3</v>
      </c>
      <c r="J1044" s="1">
        <v>0</v>
      </c>
      <c r="K1044" s="1">
        <v>12</v>
      </c>
      <c r="L1044" s="1">
        <v>25</v>
      </c>
      <c r="M1044" s="1">
        <v>1</v>
      </c>
      <c r="N1044" s="1" t="s">
        <v>4</v>
      </c>
      <c r="O1044" s="1">
        <v>0</v>
      </c>
      <c r="P1044" s="1" t="s">
        <v>101</v>
      </c>
      <c r="Q1044" s="1" t="s">
        <v>108</v>
      </c>
      <c r="R1044" t="str">
        <f t="shared" si="68"/>
        <v>TEMPERATURE INFO Set:18 Actual:18.5 Countdown:180</v>
      </c>
    </row>
    <row r="1045" spans="1:18" hidden="1" x14ac:dyDescent="0.25">
      <c r="A1045" s="3">
        <f t="shared" si="65"/>
        <v>44761.593133958326</v>
      </c>
      <c r="B1045" s="8" t="str">
        <f t="shared" si="66"/>
        <v>←</v>
      </c>
      <c r="C1045" s="11">
        <f t="shared" si="67"/>
        <v>0.13300000000000001</v>
      </c>
      <c r="D1045" s="2">
        <v>1658204046774</v>
      </c>
      <c r="E1045" t="s">
        <v>0</v>
      </c>
      <c r="F1045" s="1">
        <v>5</v>
      </c>
      <c r="G1045" s="1">
        <v>31</v>
      </c>
      <c r="H1045" s="1">
        <v>21</v>
      </c>
      <c r="I1045" s="1" t="s">
        <v>6</v>
      </c>
      <c r="J1045" s="1">
        <v>3</v>
      </c>
      <c r="K1045" s="1" t="s">
        <v>7</v>
      </c>
      <c r="R1045" t="str">
        <f t="shared" si="68"/>
        <v>Ack</v>
      </c>
    </row>
    <row r="1046" spans="1:18" hidden="1" x14ac:dyDescent="0.25">
      <c r="A1046" s="3">
        <f t="shared" si="65"/>
        <v>44761.593136122683</v>
      </c>
      <c r="B1046" s="8" t="str">
        <f t="shared" si="66"/>
        <v>←</v>
      </c>
      <c r="C1046" s="11">
        <f t="shared" si="67"/>
        <v>0.187</v>
      </c>
      <c r="D1046" s="2">
        <v>1658204046961</v>
      </c>
      <c r="E1046" t="s">
        <v>0</v>
      </c>
      <c r="F1046" s="1">
        <v>9</v>
      </c>
      <c r="G1046" s="1">
        <v>31</v>
      </c>
      <c r="H1046" s="1">
        <v>21</v>
      </c>
      <c r="I1046" s="1">
        <v>5</v>
      </c>
      <c r="J1046" s="1">
        <v>0</v>
      </c>
      <c r="K1046" s="1">
        <v>23</v>
      </c>
      <c r="L1046" s="1">
        <v>0</v>
      </c>
      <c r="M1046" s="1">
        <v>0</v>
      </c>
      <c r="N1046" s="1" t="s">
        <v>8</v>
      </c>
      <c r="O1046" s="1">
        <v>20</v>
      </c>
      <c r="R1046" t="str">
        <f t="shared" si="68"/>
        <v>FURNACE STATUS REPORT Fan:1 Ignition:1 Burner:0 Unknown:20</v>
      </c>
    </row>
    <row r="1047" spans="1:18" hidden="1" x14ac:dyDescent="0.25">
      <c r="A1047" s="3">
        <f t="shared" si="65"/>
        <v>44761.593137453703</v>
      </c>
      <c r="B1047" s="8" t="str">
        <f t="shared" si="66"/>
        <v>→</v>
      </c>
      <c r="C1047" s="11">
        <f t="shared" si="67"/>
        <v>0.115</v>
      </c>
      <c r="D1047" s="2">
        <v>1658204047076</v>
      </c>
      <c r="E1047" t="s">
        <v>0</v>
      </c>
      <c r="F1047" s="1">
        <v>5</v>
      </c>
      <c r="G1047" s="1">
        <v>21</v>
      </c>
      <c r="H1047" s="1">
        <v>31</v>
      </c>
      <c r="I1047" s="1" t="s">
        <v>6</v>
      </c>
      <c r="J1047" s="1">
        <v>62</v>
      </c>
      <c r="K1047" s="1">
        <v>95</v>
      </c>
      <c r="R1047" t="str">
        <f t="shared" si="68"/>
        <v>Ack</v>
      </c>
    </row>
    <row r="1048" spans="1:18" hidden="1" x14ac:dyDescent="0.25">
      <c r="A1048" s="3">
        <f t="shared" si="65"/>
        <v>44761.593515717592</v>
      </c>
      <c r="B1048" s="8" t="str">
        <f t="shared" si="66"/>
        <v>→</v>
      </c>
      <c r="C1048" s="11">
        <f t="shared" si="67"/>
        <v>32.682000000000002</v>
      </c>
      <c r="D1048" s="2">
        <v>1658204079758</v>
      </c>
      <c r="E1048" t="s">
        <v>0</v>
      </c>
      <c r="F1048" s="1">
        <v>8</v>
      </c>
      <c r="G1048" s="1">
        <v>21</v>
      </c>
      <c r="H1048" s="1">
        <v>31</v>
      </c>
      <c r="I1048" s="1">
        <v>7</v>
      </c>
      <c r="J1048" s="1" t="s">
        <v>72</v>
      </c>
      <c r="K1048" s="1">
        <v>9</v>
      </c>
      <c r="L1048" s="1">
        <v>1</v>
      </c>
      <c r="M1048" s="1" t="s">
        <v>102</v>
      </c>
      <c r="N1048" s="1">
        <v>87</v>
      </c>
      <c r="R1048" t="str">
        <f t="shared" si="68"/>
        <v>TIME 14:9 Tue</v>
      </c>
    </row>
    <row r="1049" spans="1:18" hidden="1" x14ac:dyDescent="0.25">
      <c r="A1049" s="3">
        <f t="shared" si="65"/>
        <v>44761.593517048612</v>
      </c>
      <c r="B1049" s="8" t="str">
        <f t="shared" si="66"/>
        <v>←</v>
      </c>
      <c r="C1049" s="11">
        <f t="shared" si="67"/>
        <v>0.115</v>
      </c>
      <c r="D1049" s="2">
        <v>1658204079873</v>
      </c>
      <c r="E1049" t="s">
        <v>0</v>
      </c>
      <c r="F1049" s="1">
        <v>5</v>
      </c>
      <c r="G1049" s="1">
        <v>31</v>
      </c>
      <c r="H1049" s="1">
        <v>21</v>
      </c>
      <c r="I1049" s="1" t="s">
        <v>6</v>
      </c>
      <c r="J1049" s="1">
        <v>3</v>
      </c>
      <c r="K1049" s="1" t="s">
        <v>7</v>
      </c>
      <c r="R1049" t="str">
        <f t="shared" si="68"/>
        <v>Ack</v>
      </c>
    </row>
    <row r="1050" spans="1:18" hidden="1" x14ac:dyDescent="0.25">
      <c r="A1050" s="3">
        <f t="shared" si="65"/>
        <v>44761.593518472218</v>
      </c>
      <c r="B1050" s="8" t="str">
        <f t="shared" si="66"/>
        <v>→</v>
      </c>
      <c r="C1050" s="11">
        <f t="shared" si="67"/>
        <v>0.123</v>
      </c>
      <c r="D1050" s="2">
        <v>1658204079996</v>
      </c>
      <c r="E1050" t="s">
        <v>0</v>
      </c>
      <c r="F1050" s="1">
        <v>5</v>
      </c>
      <c r="G1050" s="1">
        <v>21</v>
      </c>
      <c r="H1050" s="1">
        <v>31</v>
      </c>
      <c r="I1050" s="1">
        <v>9</v>
      </c>
      <c r="J1050" s="1">
        <v>60</v>
      </c>
      <c r="K1050" s="1" t="s">
        <v>11</v>
      </c>
      <c r="R1050" t="str">
        <f t="shared" si="68"/>
        <v>PING FURNACE</v>
      </c>
    </row>
    <row r="1051" spans="1:18" hidden="1" x14ac:dyDescent="0.25">
      <c r="A1051" s="3">
        <f t="shared" si="65"/>
        <v>44761.593519918977</v>
      </c>
      <c r="B1051" s="8" t="str">
        <f t="shared" si="66"/>
        <v>←</v>
      </c>
      <c r="C1051" s="11">
        <f t="shared" si="67"/>
        <v>0.125</v>
      </c>
      <c r="D1051" s="2">
        <v>1658204080121</v>
      </c>
      <c r="E1051" t="s">
        <v>0</v>
      </c>
      <c r="F1051" s="1">
        <v>5</v>
      </c>
      <c r="G1051" s="1">
        <v>31</v>
      </c>
      <c r="H1051" s="1">
        <v>21</v>
      </c>
      <c r="I1051" s="1" t="s">
        <v>6</v>
      </c>
      <c r="J1051" s="1">
        <v>3</v>
      </c>
      <c r="K1051" s="1" t="s">
        <v>7</v>
      </c>
      <c r="R1051" t="str">
        <f t="shared" si="68"/>
        <v>Ack</v>
      </c>
    </row>
    <row r="1052" spans="1:18" hidden="1" x14ac:dyDescent="0.25">
      <c r="A1052" s="3">
        <f t="shared" si="65"/>
        <v>44761.593521828698</v>
      </c>
      <c r="B1052" s="8" t="str">
        <f t="shared" si="66"/>
        <v>→</v>
      </c>
      <c r="C1052" s="11">
        <f t="shared" si="67"/>
        <v>0.16500000000000001</v>
      </c>
      <c r="D1052" s="2">
        <v>1658204080286</v>
      </c>
      <c r="E1052" t="s">
        <v>0</v>
      </c>
      <c r="F1052" s="1" t="s">
        <v>3</v>
      </c>
      <c r="G1052" s="1">
        <v>21</v>
      </c>
      <c r="H1052" s="1">
        <v>31</v>
      </c>
      <c r="I1052" s="1" t="s">
        <v>3</v>
      </c>
      <c r="J1052" s="1">
        <v>0</v>
      </c>
      <c r="K1052" s="1">
        <v>12</v>
      </c>
      <c r="L1052" s="1">
        <v>25</v>
      </c>
      <c r="M1052" s="1">
        <v>1</v>
      </c>
      <c r="N1052" s="1">
        <v>96</v>
      </c>
      <c r="O1052" s="1">
        <v>0</v>
      </c>
      <c r="P1052" s="1">
        <v>46</v>
      </c>
      <c r="Q1052" s="1" t="s">
        <v>108</v>
      </c>
      <c r="R1052" t="str">
        <f t="shared" si="68"/>
        <v>TEMPERATURE INFO Set:18 Actual:18.5 Countdown:150</v>
      </c>
    </row>
    <row r="1053" spans="1:18" hidden="1" x14ac:dyDescent="0.25">
      <c r="A1053" s="3">
        <f t="shared" si="65"/>
        <v>44761.593523217591</v>
      </c>
      <c r="B1053" s="8" t="str">
        <f t="shared" si="66"/>
        <v>←</v>
      </c>
      <c r="C1053" s="11">
        <f t="shared" si="67"/>
        <v>0.12</v>
      </c>
      <c r="D1053" s="2">
        <v>1658204080406</v>
      </c>
      <c r="E1053" t="s">
        <v>0</v>
      </c>
      <c r="F1053" s="1">
        <v>5</v>
      </c>
      <c r="G1053" s="1">
        <v>31</v>
      </c>
      <c r="H1053" s="1">
        <v>21</v>
      </c>
      <c r="I1053" s="1" t="s">
        <v>6</v>
      </c>
      <c r="J1053" s="1">
        <v>3</v>
      </c>
      <c r="K1053" s="1" t="s">
        <v>7</v>
      </c>
      <c r="R1053" t="str">
        <f t="shared" si="68"/>
        <v>Ack</v>
      </c>
    </row>
    <row r="1054" spans="1:18" x14ac:dyDescent="0.25">
      <c r="A1054" s="3">
        <f t="shared" si="65"/>
        <v>44761.593524432865</v>
      </c>
      <c r="B1054" s="8" t="str">
        <f t="shared" si="66"/>
        <v>→</v>
      </c>
      <c r="C1054" s="11">
        <f t="shared" si="67"/>
        <v>0.105</v>
      </c>
      <c r="D1054" s="2">
        <v>1658204080511</v>
      </c>
      <c r="E1054" t="s">
        <v>0</v>
      </c>
      <c r="F1054" s="1">
        <v>6</v>
      </c>
      <c r="G1054" s="1">
        <v>21</v>
      </c>
      <c r="H1054" s="1">
        <v>31</v>
      </c>
      <c r="I1054" s="1">
        <v>29</v>
      </c>
      <c r="J1054" s="1">
        <v>0</v>
      </c>
      <c r="K1054" s="1" t="s">
        <v>13</v>
      </c>
      <c r="L1054" s="1" t="s">
        <v>14</v>
      </c>
      <c r="R1054" t="str">
        <f t="shared" si="68"/>
        <v>LONG PING FURNACE</v>
      </c>
    </row>
    <row r="1055" spans="1:18" hidden="1" x14ac:dyDescent="0.25">
      <c r="A1055" s="3">
        <f t="shared" si="65"/>
        <v>44761.593525983793</v>
      </c>
      <c r="B1055" s="8" t="str">
        <f t="shared" si="66"/>
        <v>←</v>
      </c>
      <c r="C1055" s="11">
        <f t="shared" si="67"/>
        <v>0.13400000000000001</v>
      </c>
      <c r="D1055" s="2">
        <v>1658204080645</v>
      </c>
      <c r="E1055" t="s">
        <v>0</v>
      </c>
      <c r="F1055" s="1">
        <v>5</v>
      </c>
      <c r="G1055" s="1">
        <v>31</v>
      </c>
      <c r="H1055" s="1">
        <v>21</v>
      </c>
      <c r="I1055" s="1" t="s">
        <v>6</v>
      </c>
      <c r="J1055" s="1">
        <v>3</v>
      </c>
      <c r="K1055" s="1" t="s">
        <v>7</v>
      </c>
      <c r="R1055" t="str">
        <f t="shared" si="68"/>
        <v>Ack</v>
      </c>
    </row>
    <row r="1056" spans="1:18" hidden="1" x14ac:dyDescent="0.25">
      <c r="A1056" s="3">
        <f t="shared" si="65"/>
        <v>44761.593527048608</v>
      </c>
      <c r="B1056" s="8" t="str">
        <f t="shared" si="66"/>
        <v>→</v>
      </c>
      <c r="C1056" s="11">
        <f t="shared" si="67"/>
        <v>9.1999999999999998E-2</v>
      </c>
      <c r="D1056" s="2">
        <v>1658204080737</v>
      </c>
      <c r="E1056" t="s">
        <v>0</v>
      </c>
      <c r="F1056" s="1">
        <v>5</v>
      </c>
      <c r="G1056" s="1">
        <v>21</v>
      </c>
      <c r="H1056" s="1">
        <v>31</v>
      </c>
      <c r="I1056" s="1">
        <v>6</v>
      </c>
      <c r="J1056" s="1">
        <v>60</v>
      </c>
      <c r="K1056" s="1">
        <v>83</v>
      </c>
      <c r="R1056" t="str">
        <f t="shared" si="68"/>
        <v>FURNACE STATUS REQUEST</v>
      </c>
    </row>
    <row r="1057" spans="1:18" hidden="1" x14ac:dyDescent="0.25">
      <c r="A1057" s="3">
        <f t="shared" si="65"/>
        <v>44761.593528854166</v>
      </c>
      <c r="B1057" s="8" t="str">
        <f t="shared" si="66"/>
        <v>←</v>
      </c>
      <c r="C1057" s="11">
        <f t="shared" si="67"/>
        <v>0.156</v>
      </c>
      <c r="D1057" s="2">
        <v>1658204080893</v>
      </c>
      <c r="E1057" t="s">
        <v>0</v>
      </c>
      <c r="F1057" s="1">
        <v>9</v>
      </c>
      <c r="G1057" s="1">
        <v>31</v>
      </c>
      <c r="H1057" s="1">
        <v>21</v>
      </c>
      <c r="I1057" s="1" t="s">
        <v>1</v>
      </c>
      <c r="J1057" s="1">
        <v>0</v>
      </c>
      <c r="K1057" s="1">
        <v>23</v>
      </c>
      <c r="L1057" s="1">
        <v>0</v>
      </c>
      <c r="M1057" s="1">
        <v>0</v>
      </c>
      <c r="N1057" s="1">
        <v>71</v>
      </c>
      <c r="O1057" s="1">
        <v>73</v>
      </c>
      <c r="R1057" t="str">
        <f t="shared" si="68"/>
        <v>FURNACE STATUS RESPONSE Fan:1 Ignition:1 Burner:0 Unknown:20</v>
      </c>
    </row>
    <row r="1058" spans="1:18" hidden="1" x14ac:dyDescent="0.25">
      <c r="A1058" s="3">
        <f t="shared" ref="A1058:A1083" si="69">D1058/(1000*60*60*24)+25569+10/24</f>
        <v>44761.593805115735</v>
      </c>
      <c r="B1058" s="8" t="str">
        <f t="shared" ref="B1058:B1083" si="70">IF(AND(G1058=21,H1058=31),"→",IF(AND(G1058=31,H1058=21),"←","Error"))</f>
        <v>←</v>
      </c>
      <c r="C1058" s="11">
        <f t="shared" ref="C1058:C1083" si="71">(D1058-D1057)/1000</f>
        <v>23.869</v>
      </c>
      <c r="D1058" s="2">
        <v>1658204104762</v>
      </c>
      <c r="E1058" t="s">
        <v>0</v>
      </c>
      <c r="F1058" s="1">
        <v>9</v>
      </c>
      <c r="G1058" s="1">
        <v>31</v>
      </c>
      <c r="H1058" s="1">
        <v>21</v>
      </c>
      <c r="I1058" s="1">
        <v>5</v>
      </c>
      <c r="J1058" s="1">
        <v>0</v>
      </c>
      <c r="K1058" s="1">
        <v>21</v>
      </c>
      <c r="L1058" s="1">
        <v>0</v>
      </c>
      <c r="M1058" s="1">
        <v>0</v>
      </c>
      <c r="N1058" s="1">
        <v>59</v>
      </c>
      <c r="O1058" s="1" t="s">
        <v>3</v>
      </c>
      <c r="R1058" t="str">
        <f t="shared" si="68"/>
        <v>FURNACE STATUS REPORT Fan:1 Ignition:0 Burner:0 Unknown:20</v>
      </c>
    </row>
    <row r="1059" spans="1:18" hidden="1" x14ac:dyDescent="0.25">
      <c r="A1059" s="3">
        <f t="shared" si="69"/>
        <v>44761.593806064811</v>
      </c>
      <c r="B1059" s="8" t="str">
        <f t="shared" si="70"/>
        <v>→</v>
      </c>
      <c r="C1059" s="11">
        <f t="shared" si="71"/>
        <v>8.2000000000000003E-2</v>
      </c>
      <c r="D1059" s="2">
        <v>1658204104844</v>
      </c>
      <c r="E1059" t="s">
        <v>0</v>
      </c>
      <c r="F1059" s="1">
        <v>5</v>
      </c>
      <c r="G1059" s="1">
        <v>21</v>
      </c>
      <c r="H1059" s="1">
        <v>31</v>
      </c>
      <c r="I1059" s="1" t="s">
        <v>6</v>
      </c>
      <c r="J1059" s="1">
        <v>62</v>
      </c>
      <c r="K1059" s="1">
        <v>95</v>
      </c>
      <c r="R1059" t="str">
        <f t="shared" si="68"/>
        <v>Ack</v>
      </c>
    </row>
    <row r="1060" spans="1:18" hidden="1" x14ac:dyDescent="0.25">
      <c r="A1060" s="3">
        <f t="shared" si="69"/>
        <v>44761.593808206017</v>
      </c>
      <c r="B1060" s="8" t="str">
        <f t="shared" si="70"/>
        <v>←</v>
      </c>
      <c r="C1060" s="11">
        <f t="shared" si="71"/>
        <v>0.185</v>
      </c>
      <c r="D1060" s="2">
        <v>1658204105029</v>
      </c>
      <c r="E1060" t="s">
        <v>0</v>
      </c>
      <c r="F1060" s="1">
        <v>9</v>
      </c>
      <c r="G1060" s="1">
        <v>31</v>
      </c>
      <c r="H1060" s="1">
        <v>21</v>
      </c>
      <c r="I1060" s="1">
        <v>5</v>
      </c>
      <c r="J1060" s="1">
        <v>0</v>
      </c>
      <c r="K1060" s="1">
        <v>1</v>
      </c>
      <c r="L1060" s="1">
        <v>0</v>
      </c>
      <c r="M1060" s="1">
        <v>0</v>
      </c>
      <c r="N1060" s="1" t="s">
        <v>15</v>
      </c>
      <c r="O1060" s="1">
        <v>88</v>
      </c>
      <c r="R1060" t="str">
        <f t="shared" si="68"/>
        <v>FURNACE STATUS REPORT Fan:1 Ignition:0 Burner:0 Unknown:0</v>
      </c>
    </row>
    <row r="1061" spans="1:18" hidden="1" x14ac:dyDescent="0.25">
      <c r="A1061" s="3">
        <f t="shared" si="69"/>
        <v>44761.593809467588</v>
      </c>
      <c r="B1061" s="8" t="str">
        <f t="shared" si="70"/>
        <v>→</v>
      </c>
      <c r="C1061" s="11">
        <f t="shared" si="71"/>
        <v>0.109</v>
      </c>
      <c r="D1061" s="2">
        <v>1658204105138</v>
      </c>
      <c r="E1061" t="s">
        <v>0</v>
      </c>
      <c r="F1061" s="1">
        <v>5</v>
      </c>
      <c r="G1061" s="1">
        <v>21</v>
      </c>
      <c r="H1061" s="1">
        <v>31</v>
      </c>
      <c r="I1061" s="1" t="s">
        <v>6</v>
      </c>
      <c r="J1061" s="1">
        <v>62</v>
      </c>
      <c r="K1061" s="1">
        <v>95</v>
      </c>
      <c r="R1061" t="str">
        <f t="shared" si="68"/>
        <v>Ack</v>
      </c>
    </row>
    <row r="1062" spans="1:18" hidden="1" x14ac:dyDescent="0.25">
      <c r="A1062" s="3">
        <f t="shared" si="69"/>
        <v>44761.594074988425</v>
      </c>
      <c r="B1062" s="8" t="str">
        <f t="shared" si="70"/>
        <v>←</v>
      </c>
      <c r="C1062" s="11">
        <f t="shared" si="71"/>
        <v>22.940999999999999</v>
      </c>
      <c r="D1062" s="2">
        <v>1658204128079</v>
      </c>
      <c r="E1062" t="s">
        <v>0</v>
      </c>
      <c r="F1062" s="1">
        <v>9</v>
      </c>
      <c r="G1062" s="1">
        <v>31</v>
      </c>
      <c r="H1062" s="1">
        <v>21</v>
      </c>
      <c r="I1062" s="1">
        <v>5</v>
      </c>
      <c r="J1062" s="1">
        <v>0</v>
      </c>
      <c r="K1062" s="1">
        <v>0</v>
      </c>
      <c r="L1062" s="1">
        <v>0</v>
      </c>
      <c r="M1062" s="1">
        <v>0</v>
      </c>
      <c r="N1062" s="1" t="s">
        <v>19</v>
      </c>
      <c r="O1062" s="1" t="s">
        <v>20</v>
      </c>
      <c r="R1062" t="str">
        <f t="shared" si="68"/>
        <v>FURNACE STATUS REPORT Fan:0 Ignition:0 Burner:0 Unknown:0</v>
      </c>
    </row>
    <row r="1063" spans="1:18" hidden="1" x14ac:dyDescent="0.25">
      <c r="A1063" s="3">
        <f t="shared" si="69"/>
        <v>44761.594075960646</v>
      </c>
      <c r="B1063" s="8" t="str">
        <f t="shared" si="70"/>
        <v>→</v>
      </c>
      <c r="C1063" s="11">
        <f t="shared" si="71"/>
        <v>8.4000000000000005E-2</v>
      </c>
      <c r="D1063" s="2">
        <v>1658204128163</v>
      </c>
      <c r="E1063" t="s">
        <v>0</v>
      </c>
      <c r="F1063" s="1">
        <v>5</v>
      </c>
      <c r="G1063" s="1">
        <v>21</v>
      </c>
      <c r="H1063" s="1">
        <v>31</v>
      </c>
      <c r="I1063" s="1" t="s">
        <v>6</v>
      </c>
      <c r="J1063" s="1">
        <v>62</v>
      </c>
      <c r="K1063" s="1">
        <v>95</v>
      </c>
      <c r="R1063" t="str">
        <f t="shared" si="68"/>
        <v>Ack</v>
      </c>
    </row>
    <row r="1064" spans="1:18" hidden="1" x14ac:dyDescent="0.25">
      <c r="A1064" s="3">
        <f t="shared" si="69"/>
        <v>44761.594209895826</v>
      </c>
      <c r="B1064" s="8" t="str">
        <f t="shared" si="70"/>
        <v>→</v>
      </c>
      <c r="C1064" s="11">
        <f t="shared" si="71"/>
        <v>11.571999999999999</v>
      </c>
      <c r="D1064" s="2">
        <v>1658204139735</v>
      </c>
      <c r="E1064" t="s">
        <v>0</v>
      </c>
      <c r="F1064" s="1">
        <v>8</v>
      </c>
      <c r="G1064" s="1">
        <v>21</v>
      </c>
      <c r="H1064" s="1">
        <v>31</v>
      </c>
      <c r="I1064" s="1">
        <v>7</v>
      </c>
      <c r="J1064" s="1" t="s">
        <v>72</v>
      </c>
      <c r="K1064" s="1" t="s">
        <v>9</v>
      </c>
      <c r="L1064" s="1">
        <v>1</v>
      </c>
      <c r="M1064" s="1" t="s">
        <v>103</v>
      </c>
      <c r="N1064" s="1">
        <v>87</v>
      </c>
      <c r="R1064" t="str">
        <f t="shared" si="68"/>
        <v>TIME 14:10 Tue</v>
      </c>
    </row>
    <row r="1065" spans="1:18" hidden="1" x14ac:dyDescent="0.25">
      <c r="A1065" s="3">
        <f t="shared" si="69"/>
        <v>44761.594211307871</v>
      </c>
      <c r="B1065" s="8" t="str">
        <f t="shared" si="70"/>
        <v>←</v>
      </c>
      <c r="C1065" s="11">
        <f t="shared" si="71"/>
        <v>0.122</v>
      </c>
      <c r="D1065" s="2">
        <v>1658204139857</v>
      </c>
      <c r="E1065" t="s">
        <v>0</v>
      </c>
      <c r="F1065" s="1">
        <v>5</v>
      </c>
      <c r="G1065" s="1">
        <v>31</v>
      </c>
      <c r="H1065" s="1">
        <v>21</v>
      </c>
      <c r="I1065" s="1" t="s">
        <v>6</v>
      </c>
      <c r="J1065" s="1">
        <v>3</v>
      </c>
      <c r="K1065" s="1" t="s">
        <v>7</v>
      </c>
      <c r="R1065" t="str">
        <f t="shared" si="68"/>
        <v>Ack</v>
      </c>
    </row>
    <row r="1066" spans="1:18" hidden="1" x14ac:dyDescent="0.25">
      <c r="A1066" s="3">
        <f t="shared" si="69"/>
        <v>44761.594212986107</v>
      </c>
      <c r="B1066" s="8" t="str">
        <f t="shared" si="70"/>
        <v>→</v>
      </c>
      <c r="C1066" s="11">
        <f t="shared" si="71"/>
        <v>0.14499999999999999</v>
      </c>
      <c r="D1066" s="2">
        <v>1658204140002</v>
      </c>
      <c r="E1066" t="s">
        <v>0</v>
      </c>
      <c r="F1066" s="1">
        <v>5</v>
      </c>
      <c r="G1066" s="1">
        <v>21</v>
      </c>
      <c r="H1066" s="1">
        <v>31</v>
      </c>
      <c r="I1066" s="1">
        <v>9</v>
      </c>
      <c r="J1066" s="1">
        <v>60</v>
      </c>
      <c r="K1066" s="1" t="s">
        <v>11</v>
      </c>
      <c r="R1066" t="str">
        <f t="shared" si="68"/>
        <v>PING FURNACE</v>
      </c>
    </row>
    <row r="1067" spans="1:18" hidden="1" x14ac:dyDescent="0.25">
      <c r="A1067" s="3">
        <f t="shared" si="69"/>
        <v>44761.594214374993</v>
      </c>
      <c r="B1067" s="8" t="str">
        <f t="shared" si="70"/>
        <v>←</v>
      </c>
      <c r="C1067" s="11">
        <f t="shared" si="71"/>
        <v>0.12</v>
      </c>
      <c r="D1067" s="2">
        <v>1658204140122</v>
      </c>
      <c r="E1067" t="s">
        <v>0</v>
      </c>
      <c r="F1067" s="1">
        <v>5</v>
      </c>
      <c r="G1067" s="1">
        <v>31</v>
      </c>
      <c r="H1067" s="1">
        <v>21</v>
      </c>
      <c r="I1067" s="1" t="s">
        <v>6</v>
      </c>
      <c r="J1067" s="1">
        <v>3</v>
      </c>
      <c r="K1067" s="1" t="s">
        <v>7</v>
      </c>
      <c r="R1067" t="str">
        <f t="shared" si="68"/>
        <v>Ack</v>
      </c>
    </row>
    <row r="1068" spans="1:18" hidden="1" x14ac:dyDescent="0.25">
      <c r="A1068" s="3">
        <f t="shared" si="69"/>
        <v>44761.594216134261</v>
      </c>
      <c r="B1068" s="8" t="str">
        <f t="shared" si="70"/>
        <v>→</v>
      </c>
      <c r="C1068" s="11">
        <f t="shared" si="71"/>
        <v>0.152</v>
      </c>
      <c r="D1068" s="2">
        <v>1658204140274</v>
      </c>
      <c r="E1068" t="s">
        <v>0</v>
      </c>
      <c r="F1068" s="1" t="s">
        <v>3</v>
      </c>
      <c r="G1068" s="1">
        <v>21</v>
      </c>
      <c r="H1068" s="1">
        <v>31</v>
      </c>
      <c r="I1068" s="1" t="s">
        <v>3</v>
      </c>
      <c r="J1068" s="1">
        <v>0</v>
      </c>
      <c r="K1068" s="1">
        <v>12</v>
      </c>
      <c r="L1068" s="1">
        <v>25</v>
      </c>
      <c r="M1068" s="1">
        <v>1</v>
      </c>
      <c r="N1068" s="1" t="s">
        <v>91</v>
      </c>
      <c r="O1068" s="1">
        <v>0</v>
      </c>
      <c r="P1068" s="1" t="s">
        <v>18</v>
      </c>
      <c r="Q1068" s="1">
        <v>84</v>
      </c>
      <c r="R1068" t="str">
        <f t="shared" si="68"/>
        <v>TEMPERATURE INFO Set:18 Actual:18.5 Countdown:90</v>
      </c>
    </row>
    <row r="1069" spans="1:18" hidden="1" x14ac:dyDescent="0.25">
      <c r="A1069" s="3">
        <f t="shared" si="69"/>
        <v>44761.594217523147</v>
      </c>
      <c r="B1069" s="8" t="str">
        <f t="shared" si="70"/>
        <v>←</v>
      </c>
      <c r="C1069" s="11">
        <f t="shared" si="71"/>
        <v>0.12</v>
      </c>
      <c r="D1069" s="2">
        <v>1658204140394</v>
      </c>
      <c r="E1069" t="s">
        <v>0</v>
      </c>
      <c r="F1069" s="1">
        <v>5</v>
      </c>
      <c r="G1069" s="1">
        <v>31</v>
      </c>
      <c r="H1069" s="1">
        <v>21</v>
      </c>
      <c r="I1069" s="1" t="s">
        <v>6</v>
      </c>
      <c r="J1069" s="1">
        <v>3</v>
      </c>
      <c r="K1069" s="1" t="s">
        <v>7</v>
      </c>
      <c r="R1069" t="str">
        <f t="shared" si="68"/>
        <v>Ack</v>
      </c>
    </row>
    <row r="1070" spans="1:18" x14ac:dyDescent="0.25">
      <c r="A1070" s="3">
        <f t="shared" si="69"/>
        <v>44761.594218680555</v>
      </c>
      <c r="B1070" s="8" t="str">
        <f t="shared" si="70"/>
        <v>→</v>
      </c>
      <c r="C1070" s="11">
        <f t="shared" si="71"/>
        <v>0.1</v>
      </c>
      <c r="D1070" s="2">
        <v>1658204140494</v>
      </c>
      <c r="E1070" t="s">
        <v>0</v>
      </c>
      <c r="F1070" s="1">
        <v>6</v>
      </c>
      <c r="G1070" s="1">
        <v>21</v>
      </c>
      <c r="H1070" s="1">
        <v>31</v>
      </c>
      <c r="I1070" s="1">
        <v>29</v>
      </c>
      <c r="J1070" s="1">
        <v>0</v>
      </c>
      <c r="K1070" s="1" t="s">
        <v>13</v>
      </c>
      <c r="L1070" s="1" t="s">
        <v>14</v>
      </c>
      <c r="R1070" t="str">
        <f t="shared" si="68"/>
        <v>LONG PING FURNACE</v>
      </c>
    </row>
    <row r="1071" spans="1:18" hidden="1" x14ac:dyDescent="0.25">
      <c r="A1071" s="3">
        <f t="shared" si="69"/>
        <v>44761.594220266205</v>
      </c>
      <c r="B1071" s="8" t="str">
        <f t="shared" si="70"/>
        <v>←</v>
      </c>
      <c r="C1071" s="11">
        <f t="shared" si="71"/>
        <v>0.13700000000000001</v>
      </c>
      <c r="D1071" s="2">
        <v>1658204140631</v>
      </c>
      <c r="E1071" t="s">
        <v>0</v>
      </c>
      <c r="F1071" s="1">
        <v>5</v>
      </c>
      <c r="G1071" s="1">
        <v>31</v>
      </c>
      <c r="H1071" s="1">
        <v>21</v>
      </c>
      <c r="I1071" s="1" t="s">
        <v>6</v>
      </c>
      <c r="J1071" s="1">
        <v>3</v>
      </c>
      <c r="K1071" s="1" t="s">
        <v>7</v>
      </c>
      <c r="R1071" t="str">
        <f t="shared" si="68"/>
        <v>Ack</v>
      </c>
    </row>
    <row r="1072" spans="1:18" hidden="1" x14ac:dyDescent="0.25">
      <c r="A1072" s="3">
        <f t="shared" si="69"/>
        <v>44761.594221041662</v>
      </c>
      <c r="B1072" s="8" t="str">
        <f t="shared" si="70"/>
        <v>→</v>
      </c>
      <c r="C1072" s="11">
        <f t="shared" si="71"/>
        <v>6.7000000000000004E-2</v>
      </c>
      <c r="D1072" s="2">
        <v>1658204140698</v>
      </c>
      <c r="E1072" t="s">
        <v>0</v>
      </c>
      <c r="F1072" s="1">
        <v>5</v>
      </c>
      <c r="G1072" s="1">
        <v>21</v>
      </c>
      <c r="H1072" s="1">
        <v>31</v>
      </c>
      <c r="I1072" s="1">
        <v>6</v>
      </c>
      <c r="J1072" s="1">
        <v>60</v>
      </c>
      <c r="K1072" s="1">
        <v>83</v>
      </c>
      <c r="R1072" t="str">
        <f t="shared" si="68"/>
        <v>FURNACE STATUS REQUEST</v>
      </c>
    </row>
    <row r="1073" spans="1:18" hidden="1" x14ac:dyDescent="0.25">
      <c r="A1073" s="3">
        <f t="shared" si="69"/>
        <v>44761.594223032407</v>
      </c>
      <c r="B1073" s="8" t="str">
        <f t="shared" si="70"/>
        <v>←</v>
      </c>
      <c r="C1073" s="11">
        <f t="shared" si="71"/>
        <v>0.17199999999999999</v>
      </c>
      <c r="D1073" s="2">
        <v>1658204140870</v>
      </c>
      <c r="E1073" t="s">
        <v>0</v>
      </c>
      <c r="F1073" s="1">
        <v>9</v>
      </c>
      <c r="G1073" s="1">
        <v>31</v>
      </c>
      <c r="H1073" s="1">
        <v>21</v>
      </c>
      <c r="I1073" s="1" t="s">
        <v>1</v>
      </c>
      <c r="J1073" s="1">
        <v>0</v>
      </c>
      <c r="K1073" s="1">
        <v>0</v>
      </c>
      <c r="L1073" s="1">
        <v>0</v>
      </c>
      <c r="M1073" s="1">
        <v>0</v>
      </c>
      <c r="N1073" s="1" t="s">
        <v>21</v>
      </c>
      <c r="O1073" s="1" t="s">
        <v>22</v>
      </c>
      <c r="R1073" t="str">
        <f t="shared" si="68"/>
        <v>FURNACE STATUS RESPONSE Fan:0 Ignition:0 Burner:0 Unknown:0</v>
      </c>
    </row>
    <row r="1074" spans="1:18" hidden="1" x14ac:dyDescent="0.25">
      <c r="A1074" s="3">
        <f t="shared" si="69"/>
        <v>44761.594904490739</v>
      </c>
      <c r="B1074" s="8" t="str">
        <f t="shared" si="70"/>
        <v>→</v>
      </c>
      <c r="C1074" s="11">
        <f t="shared" si="71"/>
        <v>58.878</v>
      </c>
      <c r="D1074" s="2">
        <v>1658204199748</v>
      </c>
      <c r="E1074" t="s">
        <v>0</v>
      </c>
      <c r="F1074" s="1">
        <v>8</v>
      </c>
      <c r="G1074" s="1">
        <v>21</v>
      </c>
      <c r="H1074" s="1">
        <v>31</v>
      </c>
      <c r="I1074" s="1">
        <v>7</v>
      </c>
      <c r="J1074" s="1" t="s">
        <v>72</v>
      </c>
      <c r="K1074" s="1" t="s">
        <v>3</v>
      </c>
      <c r="L1074" s="1">
        <v>1</v>
      </c>
      <c r="M1074" s="1" t="s">
        <v>53</v>
      </c>
      <c r="N1074" s="1">
        <v>84</v>
      </c>
      <c r="R1074" t="str">
        <f t="shared" si="68"/>
        <v>TIME 14:11 Tue</v>
      </c>
    </row>
    <row r="1075" spans="1:18" hidden="1" x14ac:dyDescent="0.25">
      <c r="A1075" s="3">
        <f t="shared" si="69"/>
        <v>44761.594905636572</v>
      </c>
      <c r="B1075" s="8" t="str">
        <f t="shared" si="70"/>
        <v>←</v>
      </c>
      <c r="C1075" s="11">
        <f t="shared" si="71"/>
        <v>9.9000000000000005E-2</v>
      </c>
      <c r="D1075" s="2">
        <v>1658204199847</v>
      </c>
      <c r="E1075" t="s">
        <v>0</v>
      </c>
      <c r="F1075" s="1">
        <v>5</v>
      </c>
      <c r="G1075" s="1">
        <v>31</v>
      </c>
      <c r="H1075" s="1">
        <v>21</v>
      </c>
      <c r="I1075" s="1" t="s">
        <v>6</v>
      </c>
      <c r="J1075" s="1">
        <v>3</v>
      </c>
      <c r="K1075" s="1" t="s">
        <v>7</v>
      </c>
      <c r="R1075" t="str">
        <f t="shared" si="68"/>
        <v>Ack</v>
      </c>
    </row>
    <row r="1076" spans="1:18" hidden="1" x14ac:dyDescent="0.25">
      <c r="A1076" s="3">
        <f t="shared" si="69"/>
        <v>44761.594906851846</v>
      </c>
      <c r="B1076" s="8" t="str">
        <f t="shared" si="70"/>
        <v>→</v>
      </c>
      <c r="C1076" s="11">
        <f t="shared" si="71"/>
        <v>0.105</v>
      </c>
      <c r="D1076" s="2">
        <v>1658204199952</v>
      </c>
      <c r="E1076" t="s">
        <v>0</v>
      </c>
      <c r="F1076" s="1">
        <v>5</v>
      </c>
      <c r="G1076" s="1">
        <v>21</v>
      </c>
      <c r="H1076" s="1">
        <v>31</v>
      </c>
      <c r="I1076" s="1">
        <v>9</v>
      </c>
      <c r="J1076" s="1">
        <v>60</v>
      </c>
      <c r="K1076" s="1" t="s">
        <v>11</v>
      </c>
      <c r="R1076" t="str">
        <f t="shared" si="68"/>
        <v>PING FURNACE</v>
      </c>
    </row>
    <row r="1077" spans="1:18" hidden="1" x14ac:dyDescent="0.25">
      <c r="A1077" s="3">
        <f t="shared" si="69"/>
        <v>44761.594907939812</v>
      </c>
      <c r="B1077" s="8" t="str">
        <f t="shared" si="70"/>
        <v>←</v>
      </c>
      <c r="C1077" s="11">
        <f t="shared" si="71"/>
        <v>9.4E-2</v>
      </c>
      <c r="D1077" s="2">
        <v>1658204200046</v>
      </c>
      <c r="E1077" t="s">
        <v>0</v>
      </c>
      <c r="F1077" s="1">
        <v>5</v>
      </c>
      <c r="G1077" s="1">
        <v>31</v>
      </c>
      <c r="H1077" s="1">
        <v>21</v>
      </c>
      <c r="I1077" s="1" t="s">
        <v>6</v>
      </c>
      <c r="J1077" s="1">
        <v>3</v>
      </c>
      <c r="K1077" s="1" t="s">
        <v>7</v>
      </c>
      <c r="R1077" t="str">
        <f t="shared" si="68"/>
        <v>Ack</v>
      </c>
    </row>
    <row r="1078" spans="1:18" hidden="1" x14ac:dyDescent="0.25">
      <c r="A1078" s="3">
        <f t="shared" si="69"/>
        <v>44761.594909837957</v>
      </c>
      <c r="B1078" s="8" t="str">
        <f t="shared" si="70"/>
        <v>→</v>
      </c>
      <c r="C1078" s="11">
        <f t="shared" si="71"/>
        <v>0.16400000000000001</v>
      </c>
      <c r="D1078" s="2">
        <v>1658204200210</v>
      </c>
      <c r="E1078" t="s">
        <v>0</v>
      </c>
      <c r="F1078" s="1" t="s">
        <v>3</v>
      </c>
      <c r="G1078" s="1">
        <v>21</v>
      </c>
      <c r="H1078" s="1">
        <v>31</v>
      </c>
      <c r="I1078" s="1" t="s">
        <v>3</v>
      </c>
      <c r="J1078" s="1">
        <v>0</v>
      </c>
      <c r="K1078" s="1">
        <v>12</v>
      </c>
      <c r="L1078" s="1">
        <v>25</v>
      </c>
      <c r="M1078" s="1">
        <v>1</v>
      </c>
      <c r="N1078" s="1" t="s">
        <v>34</v>
      </c>
      <c r="O1078" s="1">
        <v>0</v>
      </c>
      <c r="P1078" s="1">
        <v>76</v>
      </c>
      <c r="Q1078" s="1">
        <v>81</v>
      </c>
      <c r="R1078" t="str">
        <f t="shared" si="68"/>
        <v>TEMPERATURE INFO Set:18 Actual:18.5 Countdown:30</v>
      </c>
    </row>
    <row r="1079" spans="1:18" hidden="1" x14ac:dyDescent="0.25">
      <c r="A1079" s="3">
        <f t="shared" si="69"/>
        <v>44761.594911469903</v>
      </c>
      <c r="B1079" s="8" t="str">
        <f t="shared" si="70"/>
        <v>←</v>
      </c>
      <c r="C1079" s="11">
        <f t="shared" si="71"/>
        <v>0.14099999999999999</v>
      </c>
      <c r="D1079" s="2">
        <v>1658204200351</v>
      </c>
      <c r="E1079" t="s">
        <v>0</v>
      </c>
      <c r="F1079" s="1">
        <v>5</v>
      </c>
      <c r="G1079" s="1">
        <v>31</v>
      </c>
      <c r="H1079" s="1">
        <v>21</v>
      </c>
      <c r="I1079" s="1" t="s">
        <v>6</v>
      </c>
      <c r="J1079" s="1">
        <v>3</v>
      </c>
      <c r="K1079" s="1" t="s">
        <v>7</v>
      </c>
      <c r="R1079" t="str">
        <f t="shared" si="68"/>
        <v>Ack</v>
      </c>
    </row>
    <row r="1080" spans="1:18" x14ac:dyDescent="0.25">
      <c r="A1080" s="3">
        <f t="shared" si="69"/>
        <v>44761.594912546294</v>
      </c>
      <c r="B1080" s="8" t="str">
        <f t="shared" si="70"/>
        <v>→</v>
      </c>
      <c r="C1080" s="11">
        <f t="shared" si="71"/>
        <v>9.2999999999999999E-2</v>
      </c>
      <c r="D1080" s="2">
        <v>1658204200444</v>
      </c>
      <c r="E1080" t="s">
        <v>0</v>
      </c>
      <c r="F1080" s="1">
        <v>6</v>
      </c>
      <c r="G1080" s="1">
        <v>21</v>
      </c>
      <c r="H1080" s="1">
        <v>31</v>
      </c>
      <c r="I1080" s="1">
        <v>29</v>
      </c>
      <c r="J1080" s="1">
        <v>0</v>
      </c>
      <c r="K1080" s="1" t="s">
        <v>13</v>
      </c>
      <c r="L1080" s="1" t="s">
        <v>14</v>
      </c>
      <c r="R1080" t="str">
        <f t="shared" si="68"/>
        <v>LONG PING FURNACE</v>
      </c>
    </row>
    <row r="1081" spans="1:18" hidden="1" x14ac:dyDescent="0.25">
      <c r="A1081" s="3">
        <f t="shared" si="69"/>
        <v>44761.594913877314</v>
      </c>
      <c r="B1081" s="8" t="str">
        <f t="shared" si="70"/>
        <v>←</v>
      </c>
      <c r="C1081" s="11">
        <f t="shared" si="71"/>
        <v>0.115</v>
      </c>
      <c r="D1081" s="2">
        <v>1658204200559</v>
      </c>
      <c r="E1081" t="s">
        <v>0</v>
      </c>
      <c r="F1081" s="1">
        <v>5</v>
      </c>
      <c r="G1081" s="1">
        <v>31</v>
      </c>
      <c r="H1081" s="1">
        <v>21</v>
      </c>
      <c r="I1081" s="1" t="s">
        <v>6</v>
      </c>
      <c r="J1081" s="1">
        <v>3</v>
      </c>
      <c r="K1081" s="1" t="s">
        <v>7</v>
      </c>
      <c r="R1081" t="str">
        <f t="shared" si="68"/>
        <v>Ack</v>
      </c>
    </row>
    <row r="1082" spans="1:18" hidden="1" x14ac:dyDescent="0.25">
      <c r="A1082" s="3">
        <f t="shared" si="69"/>
        <v>44761.594915127316</v>
      </c>
      <c r="B1082" s="8" t="str">
        <f t="shared" si="70"/>
        <v>→</v>
      </c>
      <c r="C1082" s="11">
        <f t="shared" si="71"/>
        <v>0.108</v>
      </c>
      <c r="D1082" s="2">
        <v>1658204200667</v>
      </c>
      <c r="E1082" t="s">
        <v>0</v>
      </c>
      <c r="F1082" s="1">
        <v>5</v>
      </c>
      <c r="G1082" s="1">
        <v>21</v>
      </c>
      <c r="H1082" s="1">
        <v>31</v>
      </c>
      <c r="I1082" s="1">
        <v>6</v>
      </c>
      <c r="J1082" s="1">
        <v>60</v>
      </c>
      <c r="K1082" s="1">
        <v>83</v>
      </c>
      <c r="R1082" t="str">
        <f t="shared" si="68"/>
        <v>FURNACE STATUS REQUEST</v>
      </c>
    </row>
    <row r="1083" spans="1:18" hidden="1" x14ac:dyDescent="0.25">
      <c r="A1083" s="3">
        <f t="shared" si="69"/>
        <v>44761.594916770831</v>
      </c>
      <c r="B1083" s="8" t="str">
        <f t="shared" si="70"/>
        <v>←</v>
      </c>
      <c r="C1083" s="11">
        <f t="shared" si="71"/>
        <v>0.14199999999999999</v>
      </c>
      <c r="D1083" s="2">
        <v>1658204200809</v>
      </c>
      <c r="E1083" t="s">
        <v>0</v>
      </c>
      <c r="F1083" s="1">
        <v>9</v>
      </c>
      <c r="G1083" s="1">
        <v>31</v>
      </c>
      <c r="H1083" s="1">
        <v>21</v>
      </c>
      <c r="I1083" s="1" t="s">
        <v>1</v>
      </c>
      <c r="J1083" s="1">
        <v>0</v>
      </c>
      <c r="K1083" s="1">
        <v>0</v>
      </c>
      <c r="L1083" s="1">
        <v>0</v>
      </c>
      <c r="M1083" s="1">
        <v>0</v>
      </c>
      <c r="N1083" s="1" t="s">
        <v>21</v>
      </c>
      <c r="O1083" s="1" t="s">
        <v>22</v>
      </c>
      <c r="R1083" t="str">
        <f t="shared" si="68"/>
        <v>FURNACE STATUS RESPONSE Fan:0 Ignition:0 Burner:0 Unknown:0</v>
      </c>
    </row>
    <row r="1084" spans="1:18" hidden="1" x14ac:dyDescent="0.25"/>
    <row r="1085" spans="1:18" hidden="1" x14ac:dyDescent="0.25"/>
    <row r="1086" spans="1:18" hidden="1" x14ac:dyDescent="0.25"/>
    <row r="1087" spans="1:18" hidden="1" x14ac:dyDescent="0.25"/>
    <row r="1088" spans="1:1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  <row r="4102" hidden="1" x14ac:dyDescent="0.25"/>
    <row r="4103" hidden="1" x14ac:dyDescent="0.25"/>
    <row r="4104" hidden="1" x14ac:dyDescent="0.25"/>
    <row r="4105" hidden="1" x14ac:dyDescent="0.25"/>
    <row r="4106" hidden="1" x14ac:dyDescent="0.25"/>
    <row r="4107" hidden="1" x14ac:dyDescent="0.25"/>
    <row r="4108" hidden="1" x14ac:dyDescent="0.25"/>
    <row r="4109" hidden="1" x14ac:dyDescent="0.25"/>
    <row r="4110" hidden="1" x14ac:dyDescent="0.25"/>
    <row r="4111" hidden="1" x14ac:dyDescent="0.25"/>
    <row r="4112" hidden="1" x14ac:dyDescent="0.25"/>
    <row r="4113" hidden="1" x14ac:dyDescent="0.25"/>
    <row r="4114" hidden="1" x14ac:dyDescent="0.25"/>
    <row r="4115" hidden="1" x14ac:dyDescent="0.25"/>
    <row r="4116" hidden="1" x14ac:dyDescent="0.25"/>
    <row r="4117" hidden="1" x14ac:dyDescent="0.25"/>
    <row r="4118" hidden="1" x14ac:dyDescent="0.25"/>
    <row r="4119" hidden="1" x14ac:dyDescent="0.25"/>
    <row r="4120" hidden="1" x14ac:dyDescent="0.25"/>
    <row r="4121" hidden="1" x14ac:dyDescent="0.25"/>
    <row r="4122" hidden="1" x14ac:dyDescent="0.25"/>
    <row r="4123" hidden="1" x14ac:dyDescent="0.25"/>
    <row r="4124" hidden="1" x14ac:dyDescent="0.25"/>
    <row r="4125" hidden="1" x14ac:dyDescent="0.25"/>
    <row r="4126" hidden="1" x14ac:dyDescent="0.25"/>
    <row r="4127" hidden="1" x14ac:dyDescent="0.25"/>
    <row r="4128" hidden="1" x14ac:dyDescent="0.25"/>
    <row r="4129" hidden="1" x14ac:dyDescent="0.25"/>
    <row r="4130" hidden="1" x14ac:dyDescent="0.25"/>
    <row r="4131" hidden="1" x14ac:dyDescent="0.25"/>
    <row r="4132" hidden="1" x14ac:dyDescent="0.25"/>
    <row r="4133" hidden="1" x14ac:dyDescent="0.25"/>
    <row r="4134" hidden="1" x14ac:dyDescent="0.25"/>
    <row r="4135" hidden="1" x14ac:dyDescent="0.25"/>
    <row r="4136" hidden="1" x14ac:dyDescent="0.25"/>
    <row r="4137" hidden="1" x14ac:dyDescent="0.25"/>
    <row r="4138" hidden="1" x14ac:dyDescent="0.25"/>
    <row r="4139" hidden="1" x14ac:dyDescent="0.25"/>
    <row r="4140" hidden="1" x14ac:dyDescent="0.25"/>
    <row r="4141" hidden="1" x14ac:dyDescent="0.25"/>
    <row r="4142" hidden="1" x14ac:dyDescent="0.25"/>
    <row r="4143" hidden="1" x14ac:dyDescent="0.25"/>
    <row r="4144" hidden="1" x14ac:dyDescent="0.25"/>
    <row r="4145" hidden="1" x14ac:dyDescent="0.25"/>
    <row r="4146" hidden="1" x14ac:dyDescent="0.25"/>
    <row r="4147" hidden="1" x14ac:dyDescent="0.25"/>
    <row r="4148" hidden="1" x14ac:dyDescent="0.25"/>
    <row r="4149" hidden="1" x14ac:dyDescent="0.25"/>
    <row r="4150" hidden="1" x14ac:dyDescent="0.25"/>
    <row r="4151" hidden="1" x14ac:dyDescent="0.25"/>
    <row r="4152" hidden="1" x14ac:dyDescent="0.25"/>
    <row r="4153" hidden="1" x14ac:dyDescent="0.25"/>
    <row r="4154" hidden="1" x14ac:dyDescent="0.25"/>
    <row r="4155" hidden="1" x14ac:dyDescent="0.25"/>
    <row r="4156" hidden="1" x14ac:dyDescent="0.25"/>
    <row r="4157" hidden="1" x14ac:dyDescent="0.25"/>
    <row r="4158" hidden="1" x14ac:dyDescent="0.25"/>
    <row r="4159" hidden="1" x14ac:dyDescent="0.25"/>
    <row r="4160" hidden="1" x14ac:dyDescent="0.25"/>
    <row r="4161" hidden="1" x14ac:dyDescent="0.25"/>
    <row r="4162" hidden="1" x14ac:dyDescent="0.25"/>
    <row r="4163" hidden="1" x14ac:dyDescent="0.25"/>
    <row r="4164" hidden="1" x14ac:dyDescent="0.25"/>
    <row r="4165" hidden="1" x14ac:dyDescent="0.25"/>
    <row r="4166" hidden="1" x14ac:dyDescent="0.25"/>
    <row r="4167" hidden="1" x14ac:dyDescent="0.25"/>
    <row r="4168" hidden="1" x14ac:dyDescent="0.25"/>
    <row r="4169" hidden="1" x14ac:dyDescent="0.25"/>
    <row r="4170" hidden="1" x14ac:dyDescent="0.25"/>
    <row r="4171" hidden="1" x14ac:dyDescent="0.25"/>
    <row r="4172" hidden="1" x14ac:dyDescent="0.25"/>
    <row r="4173" hidden="1" x14ac:dyDescent="0.25"/>
    <row r="4174" hidden="1" x14ac:dyDescent="0.25"/>
    <row r="4175" hidden="1" x14ac:dyDescent="0.25"/>
    <row r="4176" hidden="1" x14ac:dyDescent="0.25"/>
    <row r="4177" hidden="1" x14ac:dyDescent="0.25"/>
    <row r="4178" hidden="1" x14ac:dyDescent="0.25"/>
    <row r="4179" hidden="1" x14ac:dyDescent="0.25"/>
    <row r="4180" hidden="1" x14ac:dyDescent="0.25"/>
    <row r="4181" hidden="1" x14ac:dyDescent="0.25"/>
    <row r="4182" hidden="1" x14ac:dyDescent="0.25"/>
    <row r="4183" hidden="1" x14ac:dyDescent="0.25"/>
    <row r="4184" hidden="1" x14ac:dyDescent="0.25"/>
    <row r="4185" hidden="1" x14ac:dyDescent="0.25"/>
    <row r="4186" hidden="1" x14ac:dyDescent="0.25"/>
    <row r="4187" hidden="1" x14ac:dyDescent="0.25"/>
    <row r="4188" hidden="1" x14ac:dyDescent="0.25"/>
    <row r="4189" hidden="1" x14ac:dyDescent="0.25"/>
    <row r="4190" hidden="1" x14ac:dyDescent="0.25"/>
    <row r="4191" hidden="1" x14ac:dyDescent="0.25"/>
    <row r="4192" hidden="1" x14ac:dyDescent="0.25"/>
    <row r="4193" hidden="1" x14ac:dyDescent="0.25"/>
    <row r="4194" hidden="1" x14ac:dyDescent="0.25"/>
    <row r="4195" hidden="1" x14ac:dyDescent="0.25"/>
    <row r="4196" hidden="1" x14ac:dyDescent="0.25"/>
    <row r="4197" hidden="1" x14ac:dyDescent="0.25"/>
    <row r="4198" hidden="1" x14ac:dyDescent="0.25"/>
    <row r="4199" hidden="1" x14ac:dyDescent="0.25"/>
    <row r="4200" hidden="1" x14ac:dyDescent="0.25"/>
    <row r="4201" hidden="1" x14ac:dyDescent="0.25"/>
    <row r="4202" hidden="1" x14ac:dyDescent="0.25"/>
    <row r="4203" hidden="1" x14ac:dyDescent="0.25"/>
    <row r="4204" hidden="1" x14ac:dyDescent="0.25"/>
    <row r="4205" hidden="1" x14ac:dyDescent="0.25"/>
    <row r="4206" hidden="1" x14ac:dyDescent="0.25"/>
    <row r="4207" hidden="1" x14ac:dyDescent="0.25"/>
    <row r="4208" hidden="1" x14ac:dyDescent="0.25"/>
    <row r="4209" hidden="1" x14ac:dyDescent="0.25"/>
    <row r="4210" hidden="1" x14ac:dyDescent="0.25"/>
    <row r="4211" hidden="1" x14ac:dyDescent="0.25"/>
    <row r="4212" hidden="1" x14ac:dyDescent="0.25"/>
    <row r="4213" hidden="1" x14ac:dyDescent="0.25"/>
    <row r="4214" hidden="1" x14ac:dyDescent="0.25"/>
    <row r="4215" hidden="1" x14ac:dyDescent="0.25"/>
    <row r="4216" hidden="1" x14ac:dyDescent="0.25"/>
    <row r="4217" hidden="1" x14ac:dyDescent="0.25"/>
    <row r="4218" hidden="1" x14ac:dyDescent="0.25"/>
    <row r="4219" hidden="1" x14ac:dyDescent="0.25"/>
    <row r="4220" hidden="1" x14ac:dyDescent="0.25"/>
    <row r="4221" hidden="1" x14ac:dyDescent="0.25"/>
    <row r="4222" hidden="1" x14ac:dyDescent="0.25"/>
    <row r="4223" hidden="1" x14ac:dyDescent="0.25"/>
    <row r="4224" hidden="1" x14ac:dyDescent="0.25"/>
    <row r="4225" hidden="1" x14ac:dyDescent="0.25"/>
    <row r="4226" hidden="1" x14ac:dyDescent="0.25"/>
    <row r="4227" hidden="1" x14ac:dyDescent="0.25"/>
    <row r="4228" hidden="1" x14ac:dyDescent="0.25"/>
    <row r="4229" hidden="1" x14ac:dyDescent="0.25"/>
    <row r="4230" hidden="1" x14ac:dyDescent="0.25"/>
    <row r="4231" hidden="1" x14ac:dyDescent="0.25"/>
    <row r="4232" hidden="1" x14ac:dyDescent="0.25"/>
    <row r="4233" hidden="1" x14ac:dyDescent="0.25"/>
    <row r="4234" hidden="1" x14ac:dyDescent="0.25"/>
    <row r="4235" hidden="1" x14ac:dyDescent="0.25"/>
    <row r="4236" hidden="1" x14ac:dyDescent="0.25"/>
    <row r="4237" hidden="1" x14ac:dyDescent="0.25"/>
    <row r="4238" hidden="1" x14ac:dyDescent="0.25"/>
    <row r="4239" hidden="1" x14ac:dyDescent="0.25"/>
    <row r="4240" hidden="1" x14ac:dyDescent="0.25"/>
    <row r="4241" hidden="1" x14ac:dyDescent="0.25"/>
    <row r="4242" hidden="1" x14ac:dyDescent="0.25"/>
    <row r="4243" hidden="1" x14ac:dyDescent="0.25"/>
    <row r="4244" hidden="1" x14ac:dyDescent="0.25"/>
    <row r="4245" hidden="1" x14ac:dyDescent="0.25"/>
    <row r="4246" hidden="1" x14ac:dyDescent="0.25"/>
    <row r="4247" hidden="1" x14ac:dyDescent="0.25"/>
    <row r="4248" hidden="1" x14ac:dyDescent="0.25"/>
    <row r="4249" hidden="1" x14ac:dyDescent="0.25"/>
    <row r="4250" hidden="1" x14ac:dyDescent="0.25"/>
    <row r="4251" hidden="1" x14ac:dyDescent="0.25"/>
    <row r="4252" hidden="1" x14ac:dyDescent="0.25"/>
    <row r="4253" hidden="1" x14ac:dyDescent="0.25"/>
    <row r="4254" hidden="1" x14ac:dyDescent="0.25"/>
    <row r="4255" hidden="1" x14ac:dyDescent="0.25"/>
    <row r="4256" hidden="1" x14ac:dyDescent="0.25"/>
    <row r="4257" hidden="1" x14ac:dyDescent="0.25"/>
    <row r="4258" hidden="1" x14ac:dyDescent="0.25"/>
    <row r="4259" hidden="1" x14ac:dyDescent="0.25"/>
    <row r="4260" hidden="1" x14ac:dyDescent="0.25"/>
    <row r="4261" hidden="1" x14ac:dyDescent="0.25"/>
    <row r="4262" hidden="1" x14ac:dyDescent="0.25"/>
    <row r="4263" hidden="1" x14ac:dyDescent="0.25"/>
    <row r="4264" hidden="1" x14ac:dyDescent="0.25"/>
    <row r="4265" hidden="1" x14ac:dyDescent="0.25"/>
    <row r="4266" hidden="1" x14ac:dyDescent="0.25"/>
    <row r="4267" hidden="1" x14ac:dyDescent="0.25"/>
    <row r="4268" hidden="1" x14ac:dyDescent="0.25"/>
    <row r="4269" hidden="1" x14ac:dyDescent="0.25"/>
    <row r="4270" hidden="1" x14ac:dyDescent="0.25"/>
    <row r="4271" hidden="1" x14ac:dyDescent="0.25"/>
    <row r="4272" hidden="1" x14ac:dyDescent="0.25"/>
    <row r="4273" hidden="1" x14ac:dyDescent="0.25"/>
    <row r="4274" hidden="1" x14ac:dyDescent="0.25"/>
    <row r="4275" hidden="1" x14ac:dyDescent="0.25"/>
    <row r="4276" hidden="1" x14ac:dyDescent="0.25"/>
    <row r="4277" hidden="1" x14ac:dyDescent="0.25"/>
    <row r="4278" hidden="1" x14ac:dyDescent="0.25"/>
    <row r="4279" hidden="1" x14ac:dyDescent="0.25"/>
    <row r="4280" hidden="1" x14ac:dyDescent="0.25"/>
    <row r="4281" hidden="1" x14ac:dyDescent="0.25"/>
    <row r="4282" hidden="1" x14ac:dyDescent="0.25"/>
    <row r="4283" hidden="1" x14ac:dyDescent="0.25"/>
    <row r="4284" hidden="1" x14ac:dyDescent="0.25"/>
    <row r="4285" hidden="1" x14ac:dyDescent="0.25"/>
    <row r="4286" hidden="1" x14ac:dyDescent="0.25"/>
    <row r="4287" hidden="1" x14ac:dyDescent="0.25"/>
    <row r="4288" hidden="1" x14ac:dyDescent="0.25"/>
    <row r="4289" hidden="1" x14ac:dyDescent="0.25"/>
    <row r="4290" hidden="1" x14ac:dyDescent="0.25"/>
    <row r="4291" hidden="1" x14ac:dyDescent="0.25"/>
    <row r="4292" hidden="1" x14ac:dyDescent="0.25"/>
    <row r="4293" hidden="1" x14ac:dyDescent="0.25"/>
    <row r="4294" hidden="1" x14ac:dyDescent="0.25"/>
    <row r="4295" hidden="1" x14ac:dyDescent="0.25"/>
    <row r="4296" hidden="1" x14ac:dyDescent="0.25"/>
    <row r="4297" hidden="1" x14ac:dyDescent="0.25"/>
    <row r="4298" hidden="1" x14ac:dyDescent="0.25"/>
    <row r="4299" hidden="1" x14ac:dyDescent="0.25"/>
    <row r="4300" hidden="1" x14ac:dyDescent="0.25"/>
    <row r="4301" hidden="1" x14ac:dyDescent="0.25"/>
    <row r="4302" hidden="1" x14ac:dyDescent="0.25"/>
    <row r="4303" hidden="1" x14ac:dyDescent="0.25"/>
    <row r="4304" hidden="1" x14ac:dyDescent="0.25"/>
    <row r="4305" hidden="1" x14ac:dyDescent="0.25"/>
    <row r="4306" hidden="1" x14ac:dyDescent="0.25"/>
    <row r="4307" hidden="1" x14ac:dyDescent="0.25"/>
    <row r="4308" hidden="1" x14ac:dyDescent="0.25"/>
    <row r="4309" hidden="1" x14ac:dyDescent="0.25"/>
    <row r="4310" hidden="1" x14ac:dyDescent="0.25"/>
    <row r="4311" hidden="1" x14ac:dyDescent="0.25"/>
    <row r="4312" hidden="1" x14ac:dyDescent="0.25"/>
    <row r="4313" hidden="1" x14ac:dyDescent="0.25"/>
    <row r="4314" hidden="1" x14ac:dyDescent="0.25"/>
    <row r="4315" hidden="1" x14ac:dyDescent="0.25"/>
    <row r="4316" hidden="1" x14ac:dyDescent="0.25"/>
    <row r="4317" hidden="1" x14ac:dyDescent="0.25"/>
    <row r="4318" hidden="1" x14ac:dyDescent="0.25"/>
    <row r="4319" hidden="1" x14ac:dyDescent="0.25"/>
    <row r="4320" hidden="1" x14ac:dyDescent="0.25"/>
    <row r="4321" hidden="1" x14ac:dyDescent="0.25"/>
    <row r="4322" hidden="1" x14ac:dyDescent="0.25"/>
    <row r="4323" hidden="1" x14ac:dyDescent="0.25"/>
    <row r="4324" hidden="1" x14ac:dyDescent="0.25"/>
    <row r="4325" hidden="1" x14ac:dyDescent="0.25"/>
    <row r="4326" hidden="1" x14ac:dyDescent="0.25"/>
    <row r="4327" hidden="1" x14ac:dyDescent="0.25"/>
    <row r="4328" hidden="1" x14ac:dyDescent="0.25"/>
    <row r="4329" hidden="1" x14ac:dyDescent="0.25"/>
    <row r="4330" hidden="1" x14ac:dyDescent="0.25"/>
    <row r="4331" hidden="1" x14ac:dyDescent="0.25"/>
    <row r="4332" hidden="1" x14ac:dyDescent="0.25"/>
    <row r="4333" hidden="1" x14ac:dyDescent="0.25"/>
    <row r="4334" hidden="1" x14ac:dyDescent="0.25"/>
    <row r="4335" hidden="1" x14ac:dyDescent="0.25"/>
    <row r="4336" hidden="1" x14ac:dyDescent="0.25"/>
    <row r="4337" hidden="1" x14ac:dyDescent="0.25"/>
    <row r="4338" hidden="1" x14ac:dyDescent="0.25"/>
    <row r="4339" hidden="1" x14ac:dyDescent="0.25"/>
    <row r="4340" hidden="1" x14ac:dyDescent="0.25"/>
    <row r="4341" hidden="1" x14ac:dyDescent="0.25"/>
    <row r="4342" hidden="1" x14ac:dyDescent="0.25"/>
    <row r="4343" hidden="1" x14ac:dyDescent="0.25"/>
    <row r="4344" hidden="1" x14ac:dyDescent="0.25"/>
    <row r="4345" hidden="1" x14ac:dyDescent="0.25"/>
    <row r="4346" hidden="1" x14ac:dyDescent="0.25"/>
    <row r="4347" hidden="1" x14ac:dyDescent="0.25"/>
    <row r="4348" hidden="1" x14ac:dyDescent="0.25"/>
    <row r="4349" hidden="1" x14ac:dyDescent="0.25"/>
    <row r="4350" hidden="1" x14ac:dyDescent="0.25"/>
    <row r="4351" hidden="1" x14ac:dyDescent="0.25"/>
    <row r="4352" hidden="1" x14ac:dyDescent="0.25"/>
    <row r="4353" hidden="1" x14ac:dyDescent="0.25"/>
    <row r="4354" hidden="1" x14ac:dyDescent="0.25"/>
    <row r="4355" hidden="1" x14ac:dyDescent="0.25"/>
    <row r="4356" hidden="1" x14ac:dyDescent="0.25"/>
    <row r="4357" hidden="1" x14ac:dyDescent="0.25"/>
    <row r="4358" hidden="1" x14ac:dyDescent="0.25"/>
    <row r="4359" hidden="1" x14ac:dyDescent="0.25"/>
    <row r="4360" hidden="1" x14ac:dyDescent="0.25"/>
    <row r="4361" hidden="1" x14ac:dyDescent="0.25"/>
    <row r="4362" hidden="1" x14ac:dyDescent="0.25"/>
    <row r="4363" hidden="1" x14ac:dyDescent="0.25"/>
    <row r="4364" hidden="1" x14ac:dyDescent="0.25"/>
    <row r="4365" hidden="1" x14ac:dyDescent="0.25"/>
    <row r="4366" hidden="1" x14ac:dyDescent="0.25"/>
    <row r="4367" hidden="1" x14ac:dyDescent="0.25"/>
    <row r="4368" hidden="1" x14ac:dyDescent="0.25"/>
    <row r="4369" hidden="1" x14ac:dyDescent="0.25"/>
    <row r="4370" hidden="1" x14ac:dyDescent="0.25"/>
    <row r="4371" hidden="1" x14ac:dyDescent="0.25"/>
    <row r="4372" hidden="1" x14ac:dyDescent="0.25"/>
    <row r="4373" hidden="1" x14ac:dyDescent="0.25"/>
    <row r="4374" hidden="1" x14ac:dyDescent="0.25"/>
    <row r="4375" hidden="1" x14ac:dyDescent="0.25"/>
    <row r="4376" hidden="1" x14ac:dyDescent="0.25"/>
    <row r="4377" hidden="1" x14ac:dyDescent="0.25"/>
    <row r="4378" hidden="1" x14ac:dyDescent="0.25"/>
    <row r="4379" hidden="1" x14ac:dyDescent="0.25"/>
    <row r="4380" hidden="1" x14ac:dyDescent="0.25"/>
    <row r="4381" hidden="1" x14ac:dyDescent="0.25"/>
    <row r="4382" hidden="1" x14ac:dyDescent="0.25"/>
    <row r="4383" hidden="1" x14ac:dyDescent="0.25"/>
    <row r="4384" hidden="1" x14ac:dyDescent="0.25"/>
    <row r="4385" hidden="1" x14ac:dyDescent="0.25"/>
    <row r="4386" hidden="1" x14ac:dyDescent="0.25"/>
    <row r="4387" hidden="1" x14ac:dyDescent="0.25"/>
    <row r="4388" hidden="1" x14ac:dyDescent="0.25"/>
    <row r="4389" hidden="1" x14ac:dyDescent="0.25"/>
    <row r="4390" hidden="1" x14ac:dyDescent="0.25"/>
    <row r="4391" hidden="1" x14ac:dyDescent="0.25"/>
    <row r="4392" hidden="1" x14ac:dyDescent="0.25"/>
    <row r="4393" hidden="1" x14ac:dyDescent="0.25"/>
    <row r="4394" hidden="1" x14ac:dyDescent="0.25"/>
    <row r="4395" hidden="1" x14ac:dyDescent="0.25"/>
    <row r="4396" hidden="1" x14ac:dyDescent="0.25"/>
    <row r="4397" hidden="1" x14ac:dyDescent="0.25"/>
    <row r="4398" hidden="1" x14ac:dyDescent="0.25"/>
    <row r="4399" hidden="1" x14ac:dyDescent="0.25"/>
    <row r="4400" hidden="1" x14ac:dyDescent="0.25"/>
    <row r="4401" hidden="1" x14ac:dyDescent="0.25"/>
    <row r="4402" hidden="1" x14ac:dyDescent="0.25"/>
    <row r="4403" hidden="1" x14ac:dyDescent="0.25"/>
    <row r="4404" hidden="1" x14ac:dyDescent="0.25"/>
    <row r="4405" hidden="1" x14ac:dyDescent="0.25"/>
    <row r="4406" hidden="1" x14ac:dyDescent="0.25"/>
    <row r="4407" hidden="1" x14ac:dyDescent="0.25"/>
    <row r="4408" hidden="1" x14ac:dyDescent="0.25"/>
    <row r="4409" hidden="1" x14ac:dyDescent="0.25"/>
    <row r="4410" hidden="1" x14ac:dyDescent="0.25"/>
    <row r="4411" hidden="1" x14ac:dyDescent="0.25"/>
    <row r="4412" hidden="1" x14ac:dyDescent="0.25"/>
    <row r="4413" hidden="1" x14ac:dyDescent="0.25"/>
    <row r="4414" hidden="1" x14ac:dyDescent="0.25"/>
    <row r="4415" hidden="1" x14ac:dyDescent="0.25"/>
    <row r="4416" hidden="1" x14ac:dyDescent="0.25"/>
    <row r="4417" hidden="1" x14ac:dyDescent="0.25"/>
    <row r="4418" hidden="1" x14ac:dyDescent="0.25"/>
    <row r="4419" hidden="1" x14ac:dyDescent="0.25"/>
    <row r="4420" hidden="1" x14ac:dyDescent="0.25"/>
    <row r="4421" hidden="1" x14ac:dyDescent="0.25"/>
    <row r="4422" hidden="1" x14ac:dyDescent="0.25"/>
    <row r="4423" hidden="1" x14ac:dyDescent="0.25"/>
    <row r="4424" hidden="1" x14ac:dyDescent="0.25"/>
    <row r="4425" hidden="1" x14ac:dyDescent="0.25"/>
    <row r="4426" hidden="1" x14ac:dyDescent="0.25"/>
    <row r="4427" hidden="1" x14ac:dyDescent="0.25"/>
    <row r="4428" hidden="1" x14ac:dyDescent="0.25"/>
    <row r="4429" hidden="1" x14ac:dyDescent="0.25"/>
    <row r="4430" hidden="1" x14ac:dyDescent="0.25"/>
    <row r="4431" hidden="1" x14ac:dyDescent="0.25"/>
    <row r="4432" hidden="1" x14ac:dyDescent="0.25"/>
    <row r="4433" hidden="1" x14ac:dyDescent="0.25"/>
    <row r="4434" hidden="1" x14ac:dyDescent="0.25"/>
    <row r="4435" hidden="1" x14ac:dyDescent="0.25"/>
    <row r="4436" hidden="1" x14ac:dyDescent="0.25"/>
    <row r="4437" hidden="1" x14ac:dyDescent="0.25"/>
    <row r="4438" hidden="1" x14ac:dyDescent="0.25"/>
    <row r="4439" hidden="1" x14ac:dyDescent="0.25"/>
    <row r="4440" hidden="1" x14ac:dyDescent="0.25"/>
    <row r="4441" hidden="1" x14ac:dyDescent="0.25"/>
    <row r="4442" hidden="1" x14ac:dyDescent="0.25"/>
    <row r="4443" hidden="1" x14ac:dyDescent="0.25"/>
    <row r="4444" hidden="1" x14ac:dyDescent="0.25"/>
    <row r="4445" hidden="1" x14ac:dyDescent="0.25"/>
    <row r="4446" hidden="1" x14ac:dyDescent="0.25"/>
    <row r="4447" hidden="1" x14ac:dyDescent="0.25"/>
    <row r="4448" hidden="1" x14ac:dyDescent="0.25"/>
    <row r="4449" hidden="1" x14ac:dyDescent="0.25"/>
    <row r="4450" hidden="1" x14ac:dyDescent="0.25"/>
    <row r="4451" hidden="1" x14ac:dyDescent="0.25"/>
    <row r="4452" hidden="1" x14ac:dyDescent="0.25"/>
    <row r="4453" hidden="1" x14ac:dyDescent="0.25"/>
    <row r="4454" hidden="1" x14ac:dyDescent="0.25"/>
    <row r="4455" hidden="1" x14ac:dyDescent="0.25"/>
    <row r="4456" hidden="1" x14ac:dyDescent="0.25"/>
    <row r="4457" hidden="1" x14ac:dyDescent="0.25"/>
    <row r="4458" hidden="1" x14ac:dyDescent="0.25"/>
    <row r="4459" hidden="1" x14ac:dyDescent="0.25"/>
    <row r="4460" hidden="1" x14ac:dyDescent="0.25"/>
    <row r="4461" hidden="1" x14ac:dyDescent="0.25"/>
    <row r="4462" hidden="1" x14ac:dyDescent="0.25"/>
    <row r="4463" hidden="1" x14ac:dyDescent="0.25"/>
    <row r="4464" hidden="1" x14ac:dyDescent="0.25"/>
    <row r="4465" hidden="1" x14ac:dyDescent="0.25"/>
    <row r="4466" hidden="1" x14ac:dyDescent="0.25"/>
    <row r="4467" hidden="1" x14ac:dyDescent="0.25"/>
    <row r="4468" hidden="1" x14ac:dyDescent="0.25"/>
    <row r="4469" hidden="1" x14ac:dyDescent="0.25"/>
    <row r="4470" hidden="1" x14ac:dyDescent="0.25"/>
    <row r="4471" hidden="1" x14ac:dyDescent="0.25"/>
    <row r="4472" hidden="1" x14ac:dyDescent="0.25"/>
    <row r="4473" hidden="1" x14ac:dyDescent="0.25"/>
    <row r="4474" hidden="1" x14ac:dyDescent="0.25"/>
    <row r="4475" hidden="1" x14ac:dyDescent="0.25"/>
    <row r="4476" hidden="1" x14ac:dyDescent="0.25"/>
    <row r="4477" hidden="1" x14ac:dyDescent="0.25"/>
    <row r="4478" hidden="1" x14ac:dyDescent="0.25"/>
    <row r="4479" hidden="1" x14ac:dyDescent="0.25"/>
    <row r="4480" hidden="1" x14ac:dyDescent="0.25"/>
    <row r="4481" hidden="1" x14ac:dyDescent="0.25"/>
    <row r="4482" hidden="1" x14ac:dyDescent="0.25"/>
    <row r="4483" hidden="1" x14ac:dyDescent="0.25"/>
    <row r="4484" hidden="1" x14ac:dyDescent="0.25"/>
    <row r="4485" hidden="1" x14ac:dyDescent="0.25"/>
    <row r="4486" hidden="1" x14ac:dyDescent="0.25"/>
    <row r="4487" hidden="1" x14ac:dyDescent="0.25"/>
    <row r="4488" hidden="1" x14ac:dyDescent="0.25"/>
    <row r="4489" hidden="1" x14ac:dyDescent="0.25"/>
    <row r="4490" hidden="1" x14ac:dyDescent="0.25"/>
    <row r="4491" hidden="1" x14ac:dyDescent="0.25"/>
    <row r="4492" hidden="1" x14ac:dyDescent="0.25"/>
    <row r="4493" hidden="1" x14ac:dyDescent="0.25"/>
    <row r="4494" hidden="1" x14ac:dyDescent="0.25"/>
    <row r="4495" hidden="1" x14ac:dyDescent="0.25"/>
    <row r="4496" hidden="1" x14ac:dyDescent="0.25"/>
    <row r="4497" hidden="1" x14ac:dyDescent="0.25"/>
    <row r="4498" hidden="1" x14ac:dyDescent="0.25"/>
    <row r="4499" hidden="1" x14ac:dyDescent="0.25"/>
    <row r="4500" hidden="1" x14ac:dyDescent="0.25"/>
    <row r="4501" hidden="1" x14ac:dyDescent="0.25"/>
    <row r="4502" hidden="1" x14ac:dyDescent="0.25"/>
    <row r="4503" hidden="1" x14ac:dyDescent="0.25"/>
    <row r="4504" hidden="1" x14ac:dyDescent="0.25"/>
    <row r="4505" hidden="1" x14ac:dyDescent="0.25"/>
    <row r="4506" hidden="1" x14ac:dyDescent="0.25"/>
    <row r="4507" hidden="1" x14ac:dyDescent="0.25"/>
    <row r="4508" hidden="1" x14ac:dyDescent="0.25"/>
    <row r="4509" hidden="1" x14ac:dyDescent="0.25"/>
    <row r="4510" hidden="1" x14ac:dyDescent="0.25"/>
    <row r="4511" hidden="1" x14ac:dyDescent="0.25"/>
    <row r="4512" hidden="1" x14ac:dyDescent="0.25"/>
    <row r="4513" hidden="1" x14ac:dyDescent="0.25"/>
    <row r="4514" hidden="1" x14ac:dyDescent="0.25"/>
    <row r="4515" hidden="1" x14ac:dyDescent="0.25"/>
    <row r="4516" hidden="1" x14ac:dyDescent="0.25"/>
    <row r="4517" hidden="1" x14ac:dyDescent="0.25"/>
    <row r="4518" hidden="1" x14ac:dyDescent="0.25"/>
    <row r="4519" hidden="1" x14ac:dyDescent="0.25"/>
    <row r="4520" hidden="1" x14ac:dyDescent="0.25"/>
    <row r="4521" hidden="1" x14ac:dyDescent="0.25"/>
    <row r="4522" hidden="1" x14ac:dyDescent="0.25"/>
    <row r="4523" hidden="1" x14ac:dyDescent="0.25"/>
    <row r="4524" hidden="1" x14ac:dyDescent="0.25"/>
    <row r="4525" hidden="1" x14ac:dyDescent="0.25"/>
    <row r="4526" hidden="1" x14ac:dyDescent="0.25"/>
    <row r="4527" hidden="1" x14ac:dyDescent="0.25"/>
    <row r="4528" hidden="1" x14ac:dyDescent="0.25"/>
    <row r="4529" hidden="1" x14ac:dyDescent="0.25"/>
    <row r="4530" hidden="1" x14ac:dyDescent="0.25"/>
    <row r="4531" hidden="1" x14ac:dyDescent="0.25"/>
    <row r="4532" hidden="1" x14ac:dyDescent="0.25"/>
    <row r="4533" hidden="1" x14ac:dyDescent="0.25"/>
    <row r="4534" hidden="1" x14ac:dyDescent="0.25"/>
    <row r="4535" hidden="1" x14ac:dyDescent="0.25"/>
    <row r="4536" hidden="1" x14ac:dyDescent="0.25"/>
    <row r="4537" hidden="1" x14ac:dyDescent="0.25"/>
    <row r="4538" hidden="1" x14ac:dyDescent="0.25"/>
    <row r="4539" hidden="1" x14ac:dyDescent="0.25"/>
    <row r="4540" hidden="1" x14ac:dyDescent="0.25"/>
    <row r="4541" hidden="1" x14ac:dyDescent="0.25"/>
    <row r="4542" hidden="1" x14ac:dyDescent="0.25"/>
    <row r="4543" hidden="1" x14ac:dyDescent="0.25"/>
    <row r="4544" hidden="1" x14ac:dyDescent="0.25"/>
    <row r="4545" hidden="1" x14ac:dyDescent="0.25"/>
    <row r="4546" hidden="1" x14ac:dyDescent="0.25"/>
    <row r="4547" hidden="1" x14ac:dyDescent="0.25"/>
    <row r="4548" hidden="1" x14ac:dyDescent="0.25"/>
    <row r="4549" hidden="1" x14ac:dyDescent="0.25"/>
    <row r="4550" hidden="1" x14ac:dyDescent="0.25"/>
    <row r="4551" hidden="1" x14ac:dyDescent="0.25"/>
    <row r="4552" hidden="1" x14ac:dyDescent="0.25"/>
    <row r="4553" hidden="1" x14ac:dyDescent="0.25"/>
    <row r="4554" hidden="1" x14ac:dyDescent="0.25"/>
    <row r="4555" hidden="1" x14ac:dyDescent="0.25"/>
    <row r="4556" hidden="1" x14ac:dyDescent="0.25"/>
    <row r="4557" hidden="1" x14ac:dyDescent="0.25"/>
    <row r="4558" hidden="1" x14ac:dyDescent="0.25"/>
    <row r="4559" hidden="1" x14ac:dyDescent="0.25"/>
    <row r="4560" hidden="1" x14ac:dyDescent="0.25"/>
    <row r="4561" hidden="1" x14ac:dyDescent="0.25"/>
    <row r="4562" hidden="1" x14ac:dyDescent="0.25"/>
    <row r="4563" hidden="1" x14ac:dyDescent="0.25"/>
    <row r="4564" hidden="1" x14ac:dyDescent="0.25"/>
    <row r="4565" hidden="1" x14ac:dyDescent="0.25"/>
    <row r="4566" hidden="1" x14ac:dyDescent="0.25"/>
    <row r="4567" hidden="1" x14ac:dyDescent="0.25"/>
    <row r="4568" hidden="1" x14ac:dyDescent="0.25"/>
    <row r="4569" hidden="1" x14ac:dyDescent="0.25"/>
    <row r="4570" hidden="1" x14ac:dyDescent="0.25"/>
    <row r="4571" hidden="1" x14ac:dyDescent="0.25"/>
    <row r="4572" hidden="1" x14ac:dyDescent="0.25"/>
    <row r="4573" hidden="1" x14ac:dyDescent="0.25"/>
    <row r="4574" hidden="1" x14ac:dyDescent="0.25"/>
    <row r="4575" hidden="1" x14ac:dyDescent="0.25"/>
    <row r="4576" hidden="1" x14ac:dyDescent="0.25"/>
    <row r="4577" hidden="1" x14ac:dyDescent="0.25"/>
    <row r="4578" hidden="1" x14ac:dyDescent="0.25"/>
    <row r="4579" hidden="1" x14ac:dyDescent="0.25"/>
    <row r="4580" hidden="1" x14ac:dyDescent="0.25"/>
    <row r="4581" hidden="1" x14ac:dyDescent="0.25"/>
    <row r="4582" hidden="1" x14ac:dyDescent="0.25"/>
    <row r="4583" hidden="1" x14ac:dyDescent="0.25"/>
    <row r="4584" hidden="1" x14ac:dyDescent="0.25"/>
    <row r="4585" hidden="1" x14ac:dyDescent="0.25"/>
    <row r="4586" hidden="1" x14ac:dyDescent="0.25"/>
    <row r="4587" hidden="1" x14ac:dyDescent="0.25"/>
    <row r="4588" hidden="1" x14ac:dyDescent="0.25"/>
    <row r="4589" hidden="1" x14ac:dyDescent="0.25"/>
    <row r="4590" hidden="1" x14ac:dyDescent="0.25"/>
    <row r="4591" hidden="1" x14ac:dyDescent="0.25"/>
    <row r="4592" hidden="1" x14ac:dyDescent="0.25"/>
    <row r="4593" hidden="1" x14ac:dyDescent="0.25"/>
    <row r="4594" hidden="1" x14ac:dyDescent="0.25"/>
    <row r="4595" hidden="1" x14ac:dyDescent="0.25"/>
    <row r="4596" hidden="1" x14ac:dyDescent="0.25"/>
    <row r="4597" hidden="1" x14ac:dyDescent="0.25"/>
    <row r="4598" hidden="1" x14ac:dyDescent="0.25"/>
    <row r="4599" hidden="1" x14ac:dyDescent="0.25"/>
    <row r="4600" hidden="1" x14ac:dyDescent="0.25"/>
    <row r="4601" hidden="1" x14ac:dyDescent="0.25"/>
    <row r="4602" hidden="1" x14ac:dyDescent="0.25"/>
    <row r="4603" hidden="1" x14ac:dyDescent="0.25"/>
    <row r="4604" hidden="1" x14ac:dyDescent="0.25"/>
    <row r="4605" hidden="1" x14ac:dyDescent="0.25"/>
    <row r="4606" hidden="1" x14ac:dyDescent="0.25"/>
    <row r="4607" hidden="1" x14ac:dyDescent="0.25"/>
    <row r="4608" hidden="1" x14ac:dyDescent="0.25"/>
    <row r="4609" hidden="1" x14ac:dyDescent="0.25"/>
    <row r="4610" hidden="1" x14ac:dyDescent="0.25"/>
    <row r="4611" hidden="1" x14ac:dyDescent="0.25"/>
    <row r="4612" hidden="1" x14ac:dyDescent="0.25"/>
    <row r="4613" hidden="1" x14ac:dyDescent="0.25"/>
    <row r="4614" hidden="1" x14ac:dyDescent="0.25"/>
    <row r="4615" hidden="1" x14ac:dyDescent="0.25"/>
    <row r="4616" hidden="1" x14ac:dyDescent="0.25"/>
    <row r="4617" hidden="1" x14ac:dyDescent="0.25"/>
    <row r="4618" hidden="1" x14ac:dyDescent="0.25"/>
    <row r="4619" hidden="1" x14ac:dyDescent="0.25"/>
    <row r="4620" hidden="1" x14ac:dyDescent="0.25"/>
    <row r="4621" hidden="1" x14ac:dyDescent="0.25"/>
    <row r="4622" hidden="1" x14ac:dyDescent="0.25"/>
    <row r="4623" hidden="1" x14ac:dyDescent="0.25"/>
    <row r="4624" hidden="1" x14ac:dyDescent="0.25"/>
    <row r="4625" hidden="1" x14ac:dyDescent="0.25"/>
    <row r="4626" hidden="1" x14ac:dyDescent="0.25"/>
    <row r="4627" hidden="1" x14ac:dyDescent="0.25"/>
    <row r="4628" hidden="1" x14ac:dyDescent="0.25"/>
    <row r="4629" hidden="1" x14ac:dyDescent="0.25"/>
    <row r="4630" hidden="1" x14ac:dyDescent="0.25"/>
    <row r="4631" hidden="1" x14ac:dyDescent="0.25"/>
    <row r="4632" hidden="1" x14ac:dyDescent="0.25"/>
    <row r="4633" hidden="1" x14ac:dyDescent="0.25"/>
    <row r="4634" hidden="1" x14ac:dyDescent="0.25"/>
    <row r="4635" hidden="1" x14ac:dyDescent="0.25"/>
    <row r="4636" hidden="1" x14ac:dyDescent="0.25"/>
    <row r="4637" hidden="1" x14ac:dyDescent="0.25"/>
    <row r="4638" hidden="1" x14ac:dyDescent="0.25"/>
    <row r="4639" hidden="1" x14ac:dyDescent="0.25"/>
    <row r="4640" hidden="1" x14ac:dyDescent="0.25"/>
    <row r="4641" hidden="1" x14ac:dyDescent="0.25"/>
    <row r="4642" hidden="1" x14ac:dyDescent="0.25"/>
    <row r="4643" hidden="1" x14ac:dyDescent="0.25"/>
    <row r="4644" hidden="1" x14ac:dyDescent="0.25"/>
    <row r="4645" hidden="1" x14ac:dyDescent="0.25"/>
    <row r="4646" hidden="1" x14ac:dyDescent="0.25"/>
    <row r="4647" hidden="1" x14ac:dyDescent="0.25"/>
    <row r="4648" hidden="1" x14ac:dyDescent="0.25"/>
    <row r="4649" hidden="1" x14ac:dyDescent="0.25"/>
    <row r="4650" hidden="1" x14ac:dyDescent="0.25"/>
    <row r="4651" hidden="1" x14ac:dyDescent="0.25"/>
    <row r="4652" hidden="1" x14ac:dyDescent="0.25"/>
    <row r="4653" hidden="1" x14ac:dyDescent="0.25"/>
    <row r="4654" hidden="1" x14ac:dyDescent="0.25"/>
    <row r="4655" hidden="1" x14ac:dyDescent="0.25"/>
    <row r="4656" hidden="1" x14ac:dyDescent="0.25"/>
    <row r="4657" hidden="1" x14ac:dyDescent="0.25"/>
    <row r="4658" hidden="1" x14ac:dyDescent="0.25"/>
    <row r="4659" hidden="1" x14ac:dyDescent="0.25"/>
    <row r="4660" hidden="1" x14ac:dyDescent="0.25"/>
    <row r="4661" hidden="1" x14ac:dyDescent="0.25"/>
    <row r="4662" hidden="1" x14ac:dyDescent="0.25"/>
    <row r="4663" hidden="1" x14ac:dyDescent="0.25"/>
    <row r="4664" hidden="1" x14ac:dyDescent="0.25"/>
    <row r="4665" hidden="1" x14ac:dyDescent="0.25"/>
    <row r="4666" hidden="1" x14ac:dyDescent="0.25"/>
    <row r="4667" hidden="1" x14ac:dyDescent="0.25"/>
    <row r="4668" hidden="1" x14ac:dyDescent="0.25"/>
    <row r="4669" hidden="1" x14ac:dyDescent="0.25"/>
    <row r="4670" hidden="1" x14ac:dyDescent="0.25"/>
    <row r="4671" hidden="1" x14ac:dyDescent="0.25"/>
    <row r="4672" hidden="1" x14ac:dyDescent="0.25"/>
    <row r="4673" hidden="1" x14ac:dyDescent="0.25"/>
    <row r="4674" hidden="1" x14ac:dyDescent="0.25"/>
    <row r="4675" hidden="1" x14ac:dyDescent="0.25"/>
    <row r="4676" hidden="1" x14ac:dyDescent="0.25"/>
    <row r="4677" hidden="1" x14ac:dyDescent="0.25"/>
    <row r="4678" hidden="1" x14ac:dyDescent="0.25"/>
    <row r="4679" hidden="1" x14ac:dyDescent="0.25"/>
    <row r="4680" hidden="1" x14ac:dyDescent="0.25"/>
    <row r="4681" hidden="1" x14ac:dyDescent="0.25"/>
    <row r="4682" hidden="1" x14ac:dyDescent="0.25"/>
    <row r="4683" hidden="1" x14ac:dyDescent="0.25"/>
    <row r="4684" hidden="1" x14ac:dyDescent="0.25"/>
    <row r="4685" hidden="1" x14ac:dyDescent="0.25"/>
    <row r="4686" hidden="1" x14ac:dyDescent="0.25"/>
    <row r="4687" hidden="1" x14ac:dyDescent="0.25"/>
    <row r="4688" hidden="1" x14ac:dyDescent="0.25"/>
    <row r="4689" hidden="1" x14ac:dyDescent="0.25"/>
    <row r="4690" hidden="1" x14ac:dyDescent="0.25"/>
    <row r="4691" hidden="1" x14ac:dyDescent="0.25"/>
    <row r="4692" hidden="1" x14ac:dyDescent="0.25"/>
    <row r="4693" hidden="1" x14ac:dyDescent="0.25"/>
    <row r="4694" hidden="1" x14ac:dyDescent="0.25"/>
    <row r="4695" hidden="1" x14ac:dyDescent="0.25"/>
    <row r="4696" hidden="1" x14ac:dyDescent="0.25"/>
    <row r="4697" hidden="1" x14ac:dyDescent="0.25"/>
    <row r="4698" hidden="1" x14ac:dyDescent="0.25"/>
    <row r="4699" hidden="1" x14ac:dyDescent="0.25"/>
    <row r="4700" hidden="1" x14ac:dyDescent="0.25"/>
    <row r="4701" hidden="1" x14ac:dyDescent="0.25"/>
    <row r="4702" hidden="1" x14ac:dyDescent="0.25"/>
    <row r="4703" hidden="1" x14ac:dyDescent="0.25"/>
    <row r="4704" hidden="1" x14ac:dyDescent="0.25"/>
    <row r="4705" hidden="1" x14ac:dyDescent="0.25"/>
    <row r="4706" hidden="1" x14ac:dyDescent="0.25"/>
    <row r="4707" hidden="1" x14ac:dyDescent="0.25"/>
    <row r="4708" hidden="1" x14ac:dyDescent="0.25"/>
    <row r="4709" hidden="1" x14ac:dyDescent="0.25"/>
    <row r="4710" hidden="1" x14ac:dyDescent="0.25"/>
    <row r="4711" hidden="1" x14ac:dyDescent="0.25"/>
    <row r="4712" hidden="1" x14ac:dyDescent="0.25"/>
    <row r="4713" hidden="1" x14ac:dyDescent="0.25"/>
    <row r="4714" hidden="1" x14ac:dyDescent="0.25"/>
    <row r="4715" hidden="1" x14ac:dyDescent="0.25"/>
    <row r="4716" hidden="1" x14ac:dyDescent="0.25"/>
    <row r="4717" hidden="1" x14ac:dyDescent="0.25"/>
    <row r="4718" hidden="1" x14ac:dyDescent="0.25"/>
    <row r="4719" hidden="1" x14ac:dyDescent="0.25"/>
    <row r="4720" hidden="1" x14ac:dyDescent="0.25"/>
    <row r="4721" hidden="1" x14ac:dyDescent="0.25"/>
    <row r="4722" hidden="1" x14ac:dyDescent="0.25"/>
    <row r="4723" hidden="1" x14ac:dyDescent="0.25"/>
    <row r="4724" hidden="1" x14ac:dyDescent="0.25"/>
    <row r="4725" hidden="1" x14ac:dyDescent="0.25"/>
    <row r="4726" hidden="1" x14ac:dyDescent="0.25"/>
    <row r="4727" hidden="1" x14ac:dyDescent="0.25"/>
    <row r="4728" hidden="1" x14ac:dyDescent="0.25"/>
    <row r="4729" hidden="1" x14ac:dyDescent="0.25"/>
    <row r="4730" hidden="1" x14ac:dyDescent="0.25"/>
    <row r="4731" hidden="1" x14ac:dyDescent="0.25"/>
    <row r="4732" hidden="1" x14ac:dyDescent="0.25"/>
    <row r="4733" hidden="1" x14ac:dyDescent="0.25"/>
    <row r="4734" hidden="1" x14ac:dyDescent="0.25"/>
    <row r="4735" hidden="1" x14ac:dyDescent="0.25"/>
    <row r="4736" hidden="1" x14ac:dyDescent="0.25"/>
    <row r="4737" hidden="1" x14ac:dyDescent="0.25"/>
    <row r="4738" hidden="1" x14ac:dyDescent="0.25"/>
    <row r="4739" hidden="1" x14ac:dyDescent="0.25"/>
    <row r="4740" hidden="1" x14ac:dyDescent="0.25"/>
    <row r="4741" hidden="1" x14ac:dyDescent="0.25"/>
    <row r="4742" hidden="1" x14ac:dyDescent="0.25"/>
    <row r="4743" hidden="1" x14ac:dyDescent="0.25"/>
    <row r="4744" hidden="1" x14ac:dyDescent="0.25"/>
    <row r="4745" hidden="1" x14ac:dyDescent="0.25"/>
    <row r="4746" hidden="1" x14ac:dyDescent="0.25"/>
    <row r="4747" hidden="1" x14ac:dyDescent="0.25"/>
    <row r="4748" hidden="1" x14ac:dyDescent="0.25"/>
    <row r="4749" hidden="1" x14ac:dyDescent="0.25"/>
    <row r="4750" hidden="1" x14ac:dyDescent="0.25"/>
    <row r="4751" hidden="1" x14ac:dyDescent="0.25"/>
    <row r="4752" hidden="1" x14ac:dyDescent="0.25"/>
    <row r="4753" hidden="1" x14ac:dyDescent="0.25"/>
    <row r="4754" hidden="1" x14ac:dyDescent="0.25"/>
    <row r="4755" hidden="1" x14ac:dyDescent="0.25"/>
    <row r="4756" hidden="1" x14ac:dyDescent="0.25"/>
    <row r="4757" hidden="1" x14ac:dyDescent="0.25"/>
    <row r="4758" hidden="1" x14ac:dyDescent="0.25"/>
    <row r="4759" hidden="1" x14ac:dyDescent="0.25"/>
    <row r="4760" hidden="1" x14ac:dyDescent="0.25"/>
    <row r="4761" hidden="1" x14ac:dyDescent="0.25"/>
    <row r="4762" hidden="1" x14ac:dyDescent="0.25"/>
    <row r="4763" hidden="1" x14ac:dyDescent="0.25"/>
    <row r="4764" hidden="1" x14ac:dyDescent="0.25"/>
    <row r="4765" hidden="1" x14ac:dyDescent="0.25"/>
    <row r="4766" hidden="1" x14ac:dyDescent="0.25"/>
    <row r="4767" hidden="1" x14ac:dyDescent="0.25"/>
    <row r="4768" hidden="1" x14ac:dyDescent="0.25"/>
    <row r="4769" hidden="1" x14ac:dyDescent="0.25"/>
    <row r="4770" hidden="1" x14ac:dyDescent="0.25"/>
    <row r="4771" hidden="1" x14ac:dyDescent="0.25"/>
    <row r="4772" hidden="1" x14ac:dyDescent="0.25"/>
    <row r="4773" hidden="1" x14ac:dyDescent="0.25"/>
    <row r="4774" hidden="1" x14ac:dyDescent="0.25"/>
    <row r="4775" hidden="1" x14ac:dyDescent="0.25"/>
    <row r="4776" hidden="1" x14ac:dyDescent="0.25"/>
    <row r="4777" hidden="1" x14ac:dyDescent="0.25"/>
    <row r="4778" hidden="1" x14ac:dyDescent="0.25"/>
    <row r="4779" hidden="1" x14ac:dyDescent="0.25"/>
    <row r="4780" hidden="1" x14ac:dyDescent="0.25"/>
    <row r="4781" hidden="1" x14ac:dyDescent="0.25"/>
    <row r="4782" hidden="1" x14ac:dyDescent="0.25"/>
    <row r="4783" hidden="1" x14ac:dyDescent="0.25"/>
    <row r="4784" hidden="1" x14ac:dyDescent="0.25"/>
    <row r="4785" hidden="1" x14ac:dyDescent="0.25"/>
    <row r="4786" hidden="1" x14ac:dyDescent="0.25"/>
    <row r="4787" hidden="1" x14ac:dyDescent="0.25"/>
    <row r="4788" hidden="1" x14ac:dyDescent="0.25"/>
    <row r="4789" hidden="1" x14ac:dyDescent="0.25"/>
    <row r="4790" hidden="1" x14ac:dyDescent="0.25"/>
    <row r="4791" hidden="1" x14ac:dyDescent="0.25"/>
    <row r="4792" hidden="1" x14ac:dyDescent="0.25"/>
    <row r="4793" hidden="1" x14ac:dyDescent="0.25"/>
    <row r="4794" hidden="1" x14ac:dyDescent="0.25"/>
    <row r="4795" hidden="1" x14ac:dyDescent="0.25"/>
    <row r="4796" hidden="1" x14ac:dyDescent="0.25"/>
    <row r="4797" hidden="1" x14ac:dyDescent="0.25"/>
    <row r="4798" hidden="1" x14ac:dyDescent="0.25"/>
    <row r="4799" hidden="1" x14ac:dyDescent="0.25"/>
    <row r="4800" hidden="1" x14ac:dyDescent="0.25"/>
    <row r="4801" hidden="1" x14ac:dyDescent="0.25"/>
    <row r="4802" hidden="1" x14ac:dyDescent="0.25"/>
    <row r="4803" hidden="1" x14ac:dyDescent="0.25"/>
    <row r="4804" hidden="1" x14ac:dyDescent="0.25"/>
    <row r="4805" hidden="1" x14ac:dyDescent="0.25"/>
    <row r="4806" hidden="1" x14ac:dyDescent="0.25"/>
    <row r="4807" hidden="1" x14ac:dyDescent="0.25"/>
    <row r="4808" hidden="1" x14ac:dyDescent="0.25"/>
    <row r="4809" hidden="1" x14ac:dyDescent="0.25"/>
    <row r="4810" hidden="1" x14ac:dyDescent="0.25"/>
    <row r="4811" hidden="1" x14ac:dyDescent="0.25"/>
    <row r="4812" hidden="1" x14ac:dyDescent="0.25"/>
    <row r="4813" hidden="1" x14ac:dyDescent="0.25"/>
    <row r="4814" hidden="1" x14ac:dyDescent="0.25"/>
    <row r="4815" hidden="1" x14ac:dyDescent="0.25"/>
    <row r="4816" hidden="1" x14ac:dyDescent="0.25"/>
    <row r="4817" hidden="1" x14ac:dyDescent="0.25"/>
    <row r="4818" hidden="1" x14ac:dyDescent="0.25"/>
    <row r="4819" hidden="1" x14ac:dyDescent="0.25"/>
    <row r="4820" hidden="1" x14ac:dyDescent="0.25"/>
    <row r="4821" hidden="1" x14ac:dyDescent="0.25"/>
    <row r="4822" hidden="1" x14ac:dyDescent="0.25"/>
    <row r="4823" hidden="1" x14ac:dyDescent="0.25"/>
    <row r="4824" hidden="1" x14ac:dyDescent="0.25"/>
    <row r="4825" hidden="1" x14ac:dyDescent="0.25"/>
    <row r="4826" hidden="1" x14ac:dyDescent="0.25"/>
    <row r="4827" hidden="1" x14ac:dyDescent="0.25"/>
    <row r="4828" hidden="1" x14ac:dyDescent="0.25"/>
    <row r="4829" hidden="1" x14ac:dyDescent="0.25"/>
    <row r="4830" hidden="1" x14ac:dyDescent="0.25"/>
    <row r="4831" hidden="1" x14ac:dyDescent="0.25"/>
    <row r="4832" hidden="1" x14ac:dyDescent="0.25"/>
    <row r="4833" hidden="1" x14ac:dyDescent="0.25"/>
    <row r="4834" hidden="1" x14ac:dyDescent="0.25"/>
    <row r="4835" hidden="1" x14ac:dyDescent="0.25"/>
    <row r="4836" hidden="1" x14ac:dyDescent="0.25"/>
    <row r="4837" hidden="1" x14ac:dyDescent="0.25"/>
    <row r="4838" hidden="1" x14ac:dyDescent="0.25"/>
    <row r="4839" hidden="1" x14ac:dyDescent="0.25"/>
    <row r="4840" hidden="1" x14ac:dyDescent="0.25"/>
    <row r="4841" hidden="1" x14ac:dyDescent="0.25"/>
    <row r="4842" hidden="1" x14ac:dyDescent="0.25"/>
    <row r="4843" hidden="1" x14ac:dyDescent="0.25"/>
    <row r="4844" hidden="1" x14ac:dyDescent="0.25"/>
    <row r="4845" hidden="1" x14ac:dyDescent="0.25"/>
    <row r="4846" hidden="1" x14ac:dyDescent="0.25"/>
    <row r="4847" hidden="1" x14ac:dyDescent="0.25"/>
    <row r="4848" hidden="1" x14ac:dyDescent="0.25"/>
    <row r="4849" hidden="1" x14ac:dyDescent="0.25"/>
    <row r="4850" hidden="1" x14ac:dyDescent="0.25"/>
    <row r="4851" hidden="1" x14ac:dyDescent="0.25"/>
    <row r="4852" hidden="1" x14ac:dyDescent="0.25"/>
    <row r="4853" hidden="1" x14ac:dyDescent="0.25"/>
    <row r="4854" hidden="1" x14ac:dyDescent="0.25"/>
    <row r="4855" hidden="1" x14ac:dyDescent="0.25"/>
    <row r="4856" hidden="1" x14ac:dyDescent="0.25"/>
    <row r="4857" hidden="1" x14ac:dyDescent="0.25"/>
    <row r="4858" hidden="1" x14ac:dyDescent="0.25"/>
    <row r="4859" hidden="1" x14ac:dyDescent="0.25"/>
    <row r="4860" hidden="1" x14ac:dyDescent="0.25"/>
    <row r="4861" hidden="1" x14ac:dyDescent="0.25"/>
    <row r="4862" hidden="1" x14ac:dyDescent="0.25"/>
    <row r="4863" hidden="1" x14ac:dyDescent="0.25"/>
    <row r="4864" hidden="1" x14ac:dyDescent="0.25"/>
    <row r="4865" hidden="1" x14ac:dyDescent="0.25"/>
    <row r="4866" hidden="1" x14ac:dyDescent="0.25"/>
    <row r="4867" hidden="1" x14ac:dyDescent="0.25"/>
    <row r="4868" hidden="1" x14ac:dyDescent="0.25"/>
    <row r="4869" hidden="1" x14ac:dyDescent="0.25"/>
    <row r="4870" hidden="1" x14ac:dyDescent="0.25"/>
    <row r="4871" hidden="1" x14ac:dyDescent="0.25"/>
    <row r="4872" hidden="1" x14ac:dyDescent="0.25"/>
    <row r="4873" hidden="1" x14ac:dyDescent="0.25"/>
    <row r="4874" hidden="1" x14ac:dyDescent="0.25"/>
    <row r="4875" hidden="1" x14ac:dyDescent="0.25"/>
    <row r="4876" hidden="1" x14ac:dyDescent="0.25"/>
    <row r="4877" hidden="1" x14ac:dyDescent="0.25"/>
    <row r="4878" hidden="1" x14ac:dyDescent="0.25"/>
    <row r="4879" hidden="1" x14ac:dyDescent="0.25"/>
    <row r="4880" hidden="1" x14ac:dyDescent="0.25"/>
    <row r="4881" hidden="1" x14ac:dyDescent="0.25"/>
    <row r="4882" hidden="1" x14ac:dyDescent="0.25"/>
    <row r="4883" hidden="1" x14ac:dyDescent="0.25"/>
    <row r="4884" hidden="1" x14ac:dyDescent="0.25"/>
    <row r="4885" hidden="1" x14ac:dyDescent="0.25"/>
    <row r="4886" hidden="1" x14ac:dyDescent="0.25"/>
    <row r="4887" hidden="1" x14ac:dyDescent="0.25"/>
    <row r="4888" hidden="1" x14ac:dyDescent="0.25"/>
    <row r="4889" hidden="1" x14ac:dyDescent="0.25"/>
    <row r="4890" hidden="1" x14ac:dyDescent="0.25"/>
    <row r="4891" hidden="1" x14ac:dyDescent="0.25"/>
    <row r="4892" hidden="1" x14ac:dyDescent="0.25"/>
    <row r="4893" hidden="1" x14ac:dyDescent="0.25"/>
    <row r="4894" hidden="1" x14ac:dyDescent="0.25"/>
    <row r="4895" hidden="1" x14ac:dyDescent="0.25"/>
    <row r="4896" hidden="1" x14ac:dyDescent="0.25"/>
    <row r="4897" hidden="1" x14ac:dyDescent="0.25"/>
    <row r="4898" hidden="1" x14ac:dyDescent="0.25"/>
    <row r="4899" hidden="1" x14ac:dyDescent="0.25"/>
    <row r="4900" hidden="1" x14ac:dyDescent="0.25"/>
    <row r="4901" hidden="1" x14ac:dyDescent="0.25"/>
    <row r="4902" hidden="1" x14ac:dyDescent="0.25"/>
    <row r="4903" hidden="1" x14ac:dyDescent="0.25"/>
    <row r="4904" hidden="1" x14ac:dyDescent="0.25"/>
    <row r="4905" hidden="1" x14ac:dyDescent="0.25"/>
    <row r="4906" hidden="1" x14ac:dyDescent="0.25"/>
    <row r="4907" hidden="1" x14ac:dyDescent="0.25"/>
    <row r="4908" hidden="1" x14ac:dyDescent="0.25"/>
    <row r="4909" hidden="1" x14ac:dyDescent="0.25"/>
    <row r="4910" hidden="1" x14ac:dyDescent="0.25"/>
    <row r="4911" hidden="1" x14ac:dyDescent="0.25"/>
    <row r="4912" hidden="1" x14ac:dyDescent="0.25"/>
    <row r="4913" hidden="1" x14ac:dyDescent="0.25"/>
    <row r="4914" hidden="1" x14ac:dyDescent="0.25"/>
    <row r="4915" hidden="1" x14ac:dyDescent="0.25"/>
    <row r="4916" hidden="1" x14ac:dyDescent="0.25"/>
    <row r="4917" hidden="1" x14ac:dyDescent="0.25"/>
    <row r="4918" hidden="1" x14ac:dyDescent="0.25"/>
    <row r="4919" hidden="1" x14ac:dyDescent="0.25"/>
    <row r="4920" hidden="1" x14ac:dyDescent="0.25"/>
    <row r="4921" hidden="1" x14ac:dyDescent="0.25"/>
    <row r="4922" hidden="1" x14ac:dyDescent="0.25"/>
    <row r="4923" hidden="1" x14ac:dyDescent="0.25"/>
    <row r="4924" hidden="1" x14ac:dyDescent="0.25"/>
    <row r="4925" hidden="1" x14ac:dyDescent="0.25"/>
    <row r="4926" hidden="1" x14ac:dyDescent="0.25"/>
    <row r="4927" hidden="1" x14ac:dyDescent="0.25"/>
    <row r="4928" hidden="1" x14ac:dyDescent="0.25"/>
    <row r="4929" hidden="1" x14ac:dyDescent="0.25"/>
    <row r="4930" hidden="1" x14ac:dyDescent="0.25"/>
    <row r="4931" hidden="1" x14ac:dyDescent="0.25"/>
    <row r="4932" hidden="1" x14ac:dyDescent="0.25"/>
    <row r="4933" hidden="1" x14ac:dyDescent="0.25"/>
    <row r="4934" hidden="1" x14ac:dyDescent="0.25"/>
    <row r="4935" hidden="1" x14ac:dyDescent="0.25"/>
    <row r="4936" hidden="1" x14ac:dyDescent="0.25"/>
    <row r="4937" hidden="1" x14ac:dyDescent="0.25"/>
    <row r="4938" hidden="1" x14ac:dyDescent="0.25"/>
    <row r="4939" hidden="1" x14ac:dyDescent="0.25"/>
    <row r="4940" hidden="1" x14ac:dyDescent="0.25"/>
    <row r="4941" hidden="1" x14ac:dyDescent="0.25"/>
    <row r="4942" hidden="1" x14ac:dyDescent="0.25"/>
    <row r="4943" hidden="1" x14ac:dyDescent="0.25"/>
    <row r="4944" hidden="1" x14ac:dyDescent="0.25"/>
    <row r="4945" hidden="1" x14ac:dyDescent="0.25"/>
    <row r="4946" hidden="1" x14ac:dyDescent="0.25"/>
    <row r="4947" hidden="1" x14ac:dyDescent="0.25"/>
    <row r="4948" hidden="1" x14ac:dyDescent="0.25"/>
    <row r="4949" hidden="1" x14ac:dyDescent="0.25"/>
    <row r="4950" hidden="1" x14ac:dyDescent="0.25"/>
    <row r="4951" hidden="1" x14ac:dyDescent="0.25"/>
    <row r="4952" hidden="1" x14ac:dyDescent="0.25"/>
    <row r="4953" hidden="1" x14ac:dyDescent="0.25"/>
    <row r="4954" hidden="1" x14ac:dyDescent="0.25"/>
    <row r="4955" hidden="1" x14ac:dyDescent="0.25"/>
    <row r="4956" hidden="1" x14ac:dyDescent="0.25"/>
    <row r="4957" hidden="1" x14ac:dyDescent="0.25"/>
    <row r="4958" hidden="1" x14ac:dyDescent="0.25"/>
    <row r="4959" hidden="1" x14ac:dyDescent="0.25"/>
    <row r="4960" hidden="1" x14ac:dyDescent="0.25"/>
    <row r="4961" hidden="1" x14ac:dyDescent="0.25"/>
    <row r="4962" hidden="1" x14ac:dyDescent="0.25"/>
    <row r="4963" hidden="1" x14ac:dyDescent="0.25"/>
    <row r="4964" hidden="1" x14ac:dyDescent="0.25"/>
    <row r="4965" hidden="1" x14ac:dyDescent="0.25"/>
    <row r="4966" hidden="1" x14ac:dyDescent="0.25"/>
    <row r="4967" hidden="1" x14ac:dyDescent="0.25"/>
    <row r="4968" hidden="1" x14ac:dyDescent="0.25"/>
    <row r="4969" hidden="1" x14ac:dyDescent="0.25"/>
    <row r="4970" hidden="1" x14ac:dyDescent="0.25"/>
    <row r="4971" hidden="1" x14ac:dyDescent="0.25"/>
    <row r="4972" hidden="1" x14ac:dyDescent="0.25"/>
    <row r="4973" hidden="1" x14ac:dyDescent="0.25"/>
    <row r="4974" hidden="1" x14ac:dyDescent="0.25"/>
    <row r="4975" hidden="1" x14ac:dyDescent="0.25"/>
    <row r="4976" hidden="1" x14ac:dyDescent="0.25"/>
    <row r="4977" hidden="1" x14ac:dyDescent="0.25"/>
    <row r="4978" hidden="1" x14ac:dyDescent="0.25"/>
    <row r="4979" hidden="1" x14ac:dyDescent="0.25"/>
    <row r="4980" hidden="1" x14ac:dyDescent="0.25"/>
    <row r="4981" hidden="1" x14ac:dyDescent="0.25"/>
    <row r="4982" hidden="1" x14ac:dyDescent="0.25"/>
    <row r="4983" hidden="1" x14ac:dyDescent="0.25"/>
    <row r="4984" hidden="1" x14ac:dyDescent="0.25"/>
    <row r="4985" hidden="1" x14ac:dyDescent="0.25"/>
    <row r="4986" hidden="1" x14ac:dyDescent="0.25"/>
    <row r="4987" hidden="1" x14ac:dyDescent="0.25"/>
    <row r="4988" hidden="1" x14ac:dyDescent="0.25"/>
    <row r="4989" hidden="1" x14ac:dyDescent="0.25"/>
    <row r="4990" hidden="1" x14ac:dyDescent="0.25"/>
    <row r="4991" hidden="1" x14ac:dyDescent="0.25"/>
    <row r="4992" hidden="1" x14ac:dyDescent="0.25"/>
    <row r="4993" hidden="1" x14ac:dyDescent="0.25"/>
    <row r="4994" hidden="1" x14ac:dyDescent="0.25"/>
    <row r="4995" hidden="1" x14ac:dyDescent="0.25"/>
    <row r="4996" hidden="1" x14ac:dyDescent="0.25"/>
    <row r="4997" hidden="1" x14ac:dyDescent="0.25"/>
    <row r="4998" hidden="1" x14ac:dyDescent="0.25"/>
    <row r="4999" hidden="1" x14ac:dyDescent="0.25"/>
    <row r="5000" hidden="1" x14ac:dyDescent="0.25"/>
    <row r="5001" hidden="1" x14ac:dyDescent="0.25"/>
    <row r="5002" hidden="1" x14ac:dyDescent="0.25"/>
    <row r="5003" hidden="1" x14ac:dyDescent="0.25"/>
    <row r="5004" hidden="1" x14ac:dyDescent="0.25"/>
    <row r="5005" hidden="1" x14ac:dyDescent="0.25"/>
    <row r="5006" hidden="1" x14ac:dyDescent="0.25"/>
    <row r="5007" hidden="1" x14ac:dyDescent="0.25"/>
    <row r="5008" hidden="1" x14ac:dyDescent="0.25"/>
    <row r="5009" hidden="1" x14ac:dyDescent="0.25"/>
    <row r="5010" hidden="1" x14ac:dyDescent="0.25"/>
    <row r="5011" hidden="1" x14ac:dyDescent="0.25"/>
    <row r="5012" hidden="1" x14ac:dyDescent="0.25"/>
    <row r="5013" hidden="1" x14ac:dyDescent="0.25"/>
    <row r="5014" hidden="1" x14ac:dyDescent="0.25"/>
    <row r="5015" hidden="1" x14ac:dyDescent="0.25"/>
    <row r="5016" hidden="1" x14ac:dyDescent="0.25"/>
    <row r="5017" hidden="1" x14ac:dyDescent="0.25"/>
    <row r="5018" hidden="1" x14ac:dyDescent="0.25"/>
    <row r="5019" hidden="1" x14ac:dyDescent="0.25"/>
    <row r="5020" hidden="1" x14ac:dyDescent="0.25"/>
    <row r="5021" hidden="1" x14ac:dyDescent="0.25"/>
    <row r="5022" hidden="1" x14ac:dyDescent="0.25"/>
    <row r="5023" hidden="1" x14ac:dyDescent="0.25"/>
    <row r="5024" hidden="1" x14ac:dyDescent="0.25"/>
    <row r="5025" hidden="1" x14ac:dyDescent="0.25"/>
    <row r="5026" hidden="1" x14ac:dyDescent="0.25"/>
    <row r="5027" hidden="1" x14ac:dyDescent="0.25"/>
    <row r="5028" hidden="1" x14ac:dyDescent="0.25"/>
    <row r="5029" hidden="1" x14ac:dyDescent="0.25"/>
    <row r="5030" hidden="1" x14ac:dyDescent="0.25"/>
    <row r="5031" hidden="1" x14ac:dyDescent="0.25"/>
    <row r="5032" hidden="1" x14ac:dyDescent="0.25"/>
    <row r="5033" hidden="1" x14ac:dyDescent="0.25"/>
    <row r="5034" hidden="1" x14ac:dyDescent="0.25"/>
    <row r="5035" hidden="1" x14ac:dyDescent="0.25"/>
    <row r="5036" hidden="1" x14ac:dyDescent="0.25"/>
    <row r="5037" hidden="1" x14ac:dyDescent="0.25"/>
    <row r="5038" hidden="1" x14ac:dyDescent="0.25"/>
    <row r="5039" hidden="1" x14ac:dyDescent="0.25"/>
    <row r="5040" hidden="1" x14ac:dyDescent="0.25"/>
    <row r="5041" hidden="1" x14ac:dyDescent="0.25"/>
    <row r="5042" hidden="1" x14ac:dyDescent="0.25"/>
    <row r="5043" hidden="1" x14ac:dyDescent="0.25"/>
    <row r="5044" hidden="1" x14ac:dyDescent="0.25"/>
    <row r="5045" hidden="1" x14ac:dyDescent="0.25"/>
    <row r="5046" hidden="1" x14ac:dyDescent="0.25"/>
    <row r="5047" hidden="1" x14ac:dyDescent="0.25"/>
    <row r="5048" hidden="1" x14ac:dyDescent="0.25"/>
    <row r="5049" hidden="1" x14ac:dyDescent="0.25"/>
    <row r="5050" hidden="1" x14ac:dyDescent="0.25"/>
    <row r="5051" hidden="1" x14ac:dyDescent="0.25"/>
    <row r="5052" hidden="1" x14ac:dyDescent="0.25"/>
    <row r="5053" hidden="1" x14ac:dyDescent="0.25"/>
    <row r="5054" hidden="1" x14ac:dyDescent="0.25"/>
    <row r="5055" hidden="1" x14ac:dyDescent="0.25"/>
    <row r="5056" hidden="1" x14ac:dyDescent="0.25"/>
    <row r="5057" hidden="1" x14ac:dyDescent="0.25"/>
    <row r="5058" hidden="1" x14ac:dyDescent="0.25"/>
    <row r="5059" hidden="1" x14ac:dyDescent="0.25"/>
    <row r="5060" hidden="1" x14ac:dyDescent="0.25"/>
    <row r="5061" hidden="1" x14ac:dyDescent="0.25"/>
    <row r="5062" hidden="1" x14ac:dyDescent="0.25"/>
    <row r="5063" hidden="1" x14ac:dyDescent="0.25"/>
    <row r="5064" hidden="1" x14ac:dyDescent="0.25"/>
    <row r="5065" hidden="1" x14ac:dyDescent="0.25"/>
    <row r="5066" hidden="1" x14ac:dyDescent="0.25"/>
    <row r="5067" hidden="1" x14ac:dyDescent="0.25"/>
    <row r="5068" hidden="1" x14ac:dyDescent="0.25"/>
    <row r="5069" hidden="1" x14ac:dyDescent="0.25"/>
    <row r="5070" hidden="1" x14ac:dyDescent="0.25"/>
    <row r="5071" hidden="1" x14ac:dyDescent="0.25"/>
    <row r="5072" hidden="1" x14ac:dyDescent="0.25"/>
    <row r="5073" hidden="1" x14ac:dyDescent="0.25"/>
    <row r="5074" hidden="1" x14ac:dyDescent="0.25"/>
    <row r="5075" hidden="1" x14ac:dyDescent="0.25"/>
    <row r="5076" hidden="1" x14ac:dyDescent="0.25"/>
    <row r="5077" hidden="1" x14ac:dyDescent="0.25"/>
    <row r="5078" hidden="1" x14ac:dyDescent="0.25"/>
    <row r="5079" hidden="1" x14ac:dyDescent="0.25"/>
    <row r="5080" hidden="1" x14ac:dyDescent="0.25"/>
    <row r="5081" hidden="1" x14ac:dyDescent="0.25"/>
    <row r="5082" hidden="1" x14ac:dyDescent="0.25"/>
    <row r="5083" hidden="1" x14ac:dyDescent="0.25"/>
    <row r="5084" hidden="1" x14ac:dyDescent="0.25"/>
    <row r="5085" hidden="1" x14ac:dyDescent="0.25"/>
    <row r="5086" hidden="1" x14ac:dyDescent="0.25"/>
    <row r="5087" hidden="1" x14ac:dyDescent="0.25"/>
    <row r="5088" hidden="1" x14ac:dyDescent="0.25"/>
    <row r="5089" hidden="1" x14ac:dyDescent="0.25"/>
    <row r="5090" hidden="1" x14ac:dyDescent="0.25"/>
    <row r="5091" hidden="1" x14ac:dyDescent="0.25"/>
    <row r="5092" hidden="1" x14ac:dyDescent="0.25"/>
    <row r="5093" hidden="1" x14ac:dyDescent="0.25"/>
    <row r="5094" hidden="1" x14ac:dyDescent="0.25"/>
    <row r="5095" hidden="1" x14ac:dyDescent="0.25"/>
    <row r="5096" hidden="1" x14ac:dyDescent="0.25"/>
    <row r="5097" hidden="1" x14ac:dyDescent="0.25"/>
    <row r="5098" hidden="1" x14ac:dyDescent="0.25"/>
    <row r="5099" hidden="1" x14ac:dyDescent="0.25"/>
    <row r="5100" hidden="1" x14ac:dyDescent="0.25"/>
    <row r="5101" hidden="1" x14ac:dyDescent="0.25"/>
    <row r="5102" hidden="1" x14ac:dyDescent="0.25"/>
    <row r="5103" hidden="1" x14ac:dyDescent="0.25"/>
    <row r="5104" hidden="1" x14ac:dyDescent="0.25"/>
    <row r="5105" hidden="1" x14ac:dyDescent="0.25"/>
    <row r="5106" hidden="1" x14ac:dyDescent="0.25"/>
    <row r="5107" hidden="1" x14ac:dyDescent="0.25"/>
    <row r="5108" hidden="1" x14ac:dyDescent="0.25"/>
    <row r="5109" hidden="1" x14ac:dyDescent="0.25"/>
    <row r="5110" hidden="1" x14ac:dyDescent="0.25"/>
    <row r="5111" hidden="1" x14ac:dyDescent="0.25"/>
    <row r="5112" hidden="1" x14ac:dyDescent="0.25"/>
    <row r="5113" hidden="1" x14ac:dyDescent="0.25"/>
    <row r="5114" hidden="1" x14ac:dyDescent="0.25"/>
    <row r="5115" hidden="1" x14ac:dyDescent="0.25"/>
    <row r="5116" hidden="1" x14ac:dyDescent="0.25"/>
    <row r="5117" hidden="1" x14ac:dyDescent="0.25"/>
    <row r="5118" hidden="1" x14ac:dyDescent="0.25"/>
    <row r="5119" hidden="1" x14ac:dyDescent="0.25"/>
    <row r="5120" hidden="1" x14ac:dyDescent="0.25"/>
    <row r="5121" hidden="1" x14ac:dyDescent="0.25"/>
    <row r="5122" hidden="1" x14ac:dyDescent="0.25"/>
    <row r="5123" hidden="1" x14ac:dyDescent="0.25"/>
    <row r="5124" hidden="1" x14ac:dyDescent="0.25"/>
    <row r="5125" hidden="1" x14ac:dyDescent="0.25"/>
    <row r="5126" hidden="1" x14ac:dyDescent="0.25"/>
    <row r="5127" hidden="1" x14ac:dyDescent="0.25"/>
    <row r="5128" hidden="1" x14ac:dyDescent="0.25"/>
    <row r="5129" hidden="1" x14ac:dyDescent="0.25"/>
    <row r="5130" hidden="1" x14ac:dyDescent="0.25"/>
    <row r="5131" hidden="1" x14ac:dyDescent="0.25"/>
    <row r="5132" hidden="1" x14ac:dyDescent="0.25"/>
    <row r="5133" hidden="1" x14ac:dyDescent="0.25"/>
    <row r="5134" hidden="1" x14ac:dyDescent="0.25"/>
    <row r="5135" hidden="1" x14ac:dyDescent="0.25"/>
    <row r="5136" hidden="1" x14ac:dyDescent="0.25"/>
    <row r="5137" hidden="1" x14ac:dyDescent="0.25"/>
    <row r="5138" hidden="1" x14ac:dyDescent="0.25"/>
    <row r="5139" hidden="1" x14ac:dyDescent="0.25"/>
    <row r="5140" hidden="1" x14ac:dyDescent="0.25"/>
    <row r="5141" hidden="1" x14ac:dyDescent="0.25"/>
    <row r="5142" hidden="1" x14ac:dyDescent="0.25"/>
    <row r="5143" hidden="1" x14ac:dyDescent="0.25"/>
    <row r="5144" hidden="1" x14ac:dyDescent="0.25"/>
    <row r="5145" hidden="1" x14ac:dyDescent="0.25"/>
    <row r="5146" hidden="1" x14ac:dyDescent="0.25"/>
    <row r="5147" hidden="1" x14ac:dyDescent="0.25"/>
    <row r="5148" hidden="1" x14ac:dyDescent="0.25"/>
    <row r="5149" hidden="1" x14ac:dyDescent="0.25"/>
    <row r="5150" hidden="1" x14ac:dyDescent="0.25"/>
    <row r="5151" hidden="1" x14ac:dyDescent="0.25"/>
    <row r="5152" hidden="1" x14ac:dyDescent="0.25"/>
    <row r="5153" hidden="1" x14ac:dyDescent="0.25"/>
    <row r="5154" hidden="1" x14ac:dyDescent="0.25"/>
    <row r="5155" hidden="1" x14ac:dyDescent="0.25"/>
    <row r="5156" hidden="1" x14ac:dyDescent="0.25"/>
    <row r="5157" hidden="1" x14ac:dyDescent="0.25"/>
    <row r="5158" hidden="1" x14ac:dyDescent="0.25"/>
    <row r="5159" hidden="1" x14ac:dyDescent="0.25"/>
    <row r="5160" hidden="1" x14ac:dyDescent="0.25"/>
    <row r="5161" hidden="1" x14ac:dyDescent="0.25"/>
    <row r="5162" hidden="1" x14ac:dyDescent="0.25"/>
    <row r="5163" hidden="1" x14ac:dyDescent="0.25"/>
    <row r="5164" hidden="1" x14ac:dyDescent="0.25"/>
    <row r="5165" hidden="1" x14ac:dyDescent="0.25"/>
    <row r="5166" hidden="1" x14ac:dyDescent="0.25"/>
    <row r="5167" hidden="1" x14ac:dyDescent="0.25"/>
    <row r="5168" hidden="1" x14ac:dyDescent="0.25"/>
    <row r="5169" hidden="1" x14ac:dyDescent="0.25"/>
    <row r="5170" hidden="1" x14ac:dyDescent="0.25"/>
    <row r="5171" hidden="1" x14ac:dyDescent="0.25"/>
    <row r="5172" hidden="1" x14ac:dyDescent="0.25"/>
    <row r="5173" hidden="1" x14ac:dyDescent="0.25"/>
    <row r="5174" hidden="1" x14ac:dyDescent="0.25"/>
    <row r="5175" hidden="1" x14ac:dyDescent="0.25"/>
    <row r="5176" hidden="1" x14ac:dyDescent="0.25"/>
    <row r="5177" hidden="1" x14ac:dyDescent="0.25"/>
    <row r="5178" hidden="1" x14ac:dyDescent="0.25"/>
    <row r="5179" hidden="1" x14ac:dyDescent="0.25"/>
    <row r="5180" hidden="1" x14ac:dyDescent="0.25"/>
    <row r="5181" hidden="1" x14ac:dyDescent="0.25"/>
    <row r="5182" hidden="1" x14ac:dyDescent="0.25"/>
    <row r="5183" hidden="1" x14ac:dyDescent="0.25"/>
    <row r="5184" hidden="1" x14ac:dyDescent="0.25"/>
    <row r="5185" hidden="1" x14ac:dyDescent="0.25"/>
    <row r="5186" hidden="1" x14ac:dyDescent="0.25"/>
    <row r="5187" hidden="1" x14ac:dyDescent="0.25"/>
    <row r="5188" hidden="1" x14ac:dyDescent="0.25"/>
    <row r="5189" hidden="1" x14ac:dyDescent="0.25"/>
    <row r="5190" hidden="1" x14ac:dyDescent="0.25"/>
    <row r="5191" hidden="1" x14ac:dyDescent="0.25"/>
    <row r="5192" hidden="1" x14ac:dyDescent="0.25"/>
    <row r="5193" hidden="1" x14ac:dyDescent="0.25"/>
    <row r="5194" hidden="1" x14ac:dyDescent="0.25"/>
    <row r="5195" hidden="1" x14ac:dyDescent="0.25"/>
    <row r="5196" hidden="1" x14ac:dyDescent="0.25"/>
    <row r="5197" hidden="1" x14ac:dyDescent="0.25"/>
    <row r="5198" hidden="1" x14ac:dyDescent="0.25"/>
    <row r="5199" hidden="1" x14ac:dyDescent="0.25"/>
    <row r="5200" hidden="1" x14ac:dyDescent="0.25"/>
    <row r="5201" hidden="1" x14ac:dyDescent="0.25"/>
    <row r="5202" hidden="1" x14ac:dyDescent="0.25"/>
    <row r="5203" hidden="1" x14ac:dyDescent="0.25"/>
    <row r="5204" hidden="1" x14ac:dyDescent="0.25"/>
    <row r="5205" hidden="1" x14ac:dyDescent="0.25"/>
    <row r="5206" hidden="1" x14ac:dyDescent="0.25"/>
    <row r="5207" hidden="1" x14ac:dyDescent="0.25"/>
    <row r="5208" hidden="1" x14ac:dyDescent="0.25"/>
    <row r="5209" hidden="1" x14ac:dyDescent="0.25"/>
    <row r="5210" hidden="1" x14ac:dyDescent="0.25"/>
    <row r="5211" hidden="1" x14ac:dyDescent="0.25"/>
    <row r="5212" hidden="1" x14ac:dyDescent="0.25"/>
    <row r="5213" hidden="1" x14ac:dyDescent="0.25"/>
    <row r="5214" hidden="1" x14ac:dyDescent="0.25"/>
    <row r="5215" hidden="1" x14ac:dyDescent="0.25"/>
    <row r="5216" hidden="1" x14ac:dyDescent="0.25"/>
    <row r="5217" hidden="1" x14ac:dyDescent="0.25"/>
    <row r="5218" hidden="1" x14ac:dyDescent="0.25"/>
    <row r="5219" hidden="1" x14ac:dyDescent="0.25"/>
    <row r="5220" hidden="1" x14ac:dyDescent="0.25"/>
    <row r="5221" hidden="1" x14ac:dyDescent="0.25"/>
    <row r="5222" hidden="1" x14ac:dyDescent="0.25"/>
    <row r="5223" hidden="1" x14ac:dyDescent="0.25"/>
    <row r="5224" hidden="1" x14ac:dyDescent="0.25"/>
    <row r="5225" hidden="1" x14ac:dyDescent="0.25"/>
    <row r="5226" hidden="1" x14ac:dyDescent="0.25"/>
    <row r="5227" hidden="1" x14ac:dyDescent="0.25"/>
    <row r="5228" hidden="1" x14ac:dyDescent="0.25"/>
    <row r="5229" hidden="1" x14ac:dyDescent="0.25"/>
    <row r="5230" hidden="1" x14ac:dyDescent="0.25"/>
    <row r="5231" hidden="1" x14ac:dyDescent="0.25"/>
    <row r="5232" hidden="1" x14ac:dyDescent="0.25"/>
    <row r="5233" hidden="1" x14ac:dyDescent="0.25"/>
    <row r="5234" hidden="1" x14ac:dyDescent="0.25"/>
    <row r="5235" hidden="1" x14ac:dyDescent="0.25"/>
    <row r="5236" hidden="1" x14ac:dyDescent="0.25"/>
    <row r="5237" hidden="1" x14ac:dyDescent="0.25"/>
    <row r="5238" hidden="1" x14ac:dyDescent="0.25"/>
    <row r="5239" hidden="1" x14ac:dyDescent="0.25"/>
    <row r="5240" hidden="1" x14ac:dyDescent="0.25"/>
    <row r="5241" hidden="1" x14ac:dyDescent="0.25"/>
    <row r="5242" hidden="1" x14ac:dyDescent="0.25"/>
    <row r="5243" hidden="1" x14ac:dyDescent="0.25"/>
    <row r="5244" hidden="1" x14ac:dyDescent="0.25"/>
    <row r="5245" hidden="1" x14ac:dyDescent="0.25"/>
    <row r="5246" hidden="1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hidden="1" x14ac:dyDescent="0.25"/>
    <row r="5276" hidden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hidden="1" x14ac:dyDescent="0.25"/>
    <row r="5418" hidden="1" x14ac:dyDescent="0.25"/>
    <row r="5419" hidden="1" x14ac:dyDescent="0.25"/>
    <row r="5420" hidden="1" x14ac:dyDescent="0.25"/>
    <row r="5421" hidden="1" x14ac:dyDescent="0.25"/>
    <row r="5422" hidden="1" x14ac:dyDescent="0.25"/>
    <row r="5423" hidden="1" x14ac:dyDescent="0.25"/>
    <row r="5424" hidden="1" x14ac:dyDescent="0.25"/>
    <row r="5425" hidden="1" x14ac:dyDescent="0.25"/>
    <row r="5426" hidden="1" x14ac:dyDescent="0.25"/>
    <row r="5427" hidden="1" x14ac:dyDescent="0.25"/>
    <row r="5428" hidden="1" x14ac:dyDescent="0.25"/>
    <row r="5429" hidden="1" x14ac:dyDescent="0.25"/>
    <row r="5430" hidden="1" x14ac:dyDescent="0.25"/>
    <row r="5431" hidden="1" x14ac:dyDescent="0.25"/>
    <row r="5432" hidden="1" x14ac:dyDescent="0.25"/>
    <row r="5433" hidden="1" x14ac:dyDescent="0.25"/>
    <row r="5434" hidden="1" x14ac:dyDescent="0.25"/>
    <row r="5435" hidden="1" x14ac:dyDescent="0.25"/>
    <row r="5436" hidden="1" x14ac:dyDescent="0.25"/>
    <row r="5437" hidden="1" x14ac:dyDescent="0.25"/>
    <row r="5438" hidden="1" x14ac:dyDescent="0.25"/>
    <row r="5439" hidden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hidden="1" x14ac:dyDescent="0.25"/>
    <row r="5581" hidden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hidden="1" x14ac:dyDescent="0.25"/>
    <row r="5723" hidden="1" x14ac:dyDescent="0.25"/>
    <row r="5724" hidden="1" x14ac:dyDescent="0.25"/>
    <row r="5725" hidden="1" x14ac:dyDescent="0.25"/>
    <row r="5726" hidden="1" x14ac:dyDescent="0.25"/>
    <row r="5727" hidden="1" x14ac:dyDescent="0.25"/>
    <row r="5728" hidden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hidden="1" x14ac:dyDescent="0.25"/>
    <row r="5870" hidden="1" x14ac:dyDescent="0.25"/>
    <row r="5871" hidden="1" x14ac:dyDescent="0.25"/>
    <row r="5872" hidden="1" x14ac:dyDescent="0.25"/>
    <row r="5873" hidden="1" x14ac:dyDescent="0.25"/>
    <row r="5874" hidden="1" x14ac:dyDescent="0.25"/>
    <row r="5875" hidden="1" x14ac:dyDescent="0.25"/>
    <row r="5876" hidden="1" x14ac:dyDescent="0.25"/>
    <row r="5877" hidden="1" x14ac:dyDescent="0.25"/>
    <row r="5878" hidden="1" x14ac:dyDescent="0.25"/>
    <row r="5879" hidden="1" x14ac:dyDescent="0.25"/>
    <row r="5880" hidden="1" x14ac:dyDescent="0.25"/>
    <row r="5881" hidden="1" x14ac:dyDescent="0.25"/>
    <row r="5882" hidden="1" x14ac:dyDescent="0.25"/>
    <row r="5883" hidden="1" x14ac:dyDescent="0.25"/>
    <row r="5884" hidden="1" x14ac:dyDescent="0.25"/>
    <row r="5885" hidden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hidden="1" x14ac:dyDescent="0.25"/>
    <row r="6051" hidden="1" x14ac:dyDescent="0.25"/>
    <row r="6052" hidden="1" x14ac:dyDescent="0.25"/>
    <row r="6053" hidden="1" x14ac:dyDescent="0.25"/>
    <row r="6054" hidden="1" x14ac:dyDescent="0.25"/>
    <row r="6055" hidden="1" x14ac:dyDescent="0.25"/>
    <row r="6056" hidden="1" x14ac:dyDescent="0.25"/>
    <row r="6057" hidden="1" x14ac:dyDescent="0.25"/>
    <row r="6058" hidden="1" x14ac:dyDescent="0.25"/>
    <row r="6059" hidden="1" x14ac:dyDescent="0.25"/>
    <row r="6060" hidden="1" x14ac:dyDescent="0.25"/>
    <row r="6061" hidden="1" x14ac:dyDescent="0.25"/>
    <row r="6062" hidden="1" x14ac:dyDescent="0.25"/>
    <row r="6063" hidden="1" x14ac:dyDescent="0.25"/>
    <row r="6064" hidden="1" x14ac:dyDescent="0.25"/>
    <row r="6065" hidden="1" x14ac:dyDescent="0.25"/>
    <row r="6066" hidden="1" x14ac:dyDescent="0.25"/>
    <row r="6067" hidden="1" x14ac:dyDescent="0.25"/>
    <row r="6068" hidden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hidden="1" x14ac:dyDescent="0.25"/>
    <row r="7150" hidden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hidden="1" x14ac:dyDescent="0.25"/>
    <row r="7303" hidden="1" x14ac:dyDescent="0.25"/>
    <row r="7304" hidden="1" x14ac:dyDescent="0.25"/>
    <row r="7305" hidden="1" x14ac:dyDescent="0.25"/>
    <row r="7306" hidden="1" x14ac:dyDescent="0.25"/>
    <row r="7307" hidden="1" x14ac:dyDescent="0.25"/>
    <row r="7308" hidden="1" x14ac:dyDescent="0.25"/>
    <row r="7309" hidden="1" x14ac:dyDescent="0.25"/>
    <row r="7310" hidden="1" x14ac:dyDescent="0.25"/>
    <row r="7311" hidden="1" x14ac:dyDescent="0.25"/>
    <row r="7312" hidden="1" x14ac:dyDescent="0.25"/>
    <row r="7313" hidden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hidden="1" x14ac:dyDescent="0.25"/>
    <row r="7455" hidden="1" x14ac:dyDescent="0.25"/>
    <row r="7456" hidden="1" x14ac:dyDescent="0.25"/>
    <row r="7457" hidden="1" x14ac:dyDescent="0.25"/>
    <row r="7458" hidden="1" x14ac:dyDescent="0.25"/>
    <row r="7459" hidden="1" x14ac:dyDescent="0.25"/>
    <row r="7460" hidden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  <row r="7551" hidden="1" x14ac:dyDescent="0.25"/>
    <row r="7552" hidden="1" x14ac:dyDescent="0.25"/>
    <row r="7553" hidden="1" x14ac:dyDescent="0.25"/>
    <row r="7554" hidden="1" x14ac:dyDescent="0.25"/>
    <row r="7555" hidden="1" x14ac:dyDescent="0.25"/>
    <row r="7556" hidden="1" x14ac:dyDescent="0.25"/>
    <row r="7557" hidden="1" x14ac:dyDescent="0.25"/>
    <row r="7558" hidden="1" x14ac:dyDescent="0.25"/>
    <row r="7559" hidden="1" x14ac:dyDescent="0.25"/>
    <row r="7560" hidden="1" x14ac:dyDescent="0.25"/>
    <row r="7561" hidden="1" x14ac:dyDescent="0.25"/>
    <row r="7562" hidden="1" x14ac:dyDescent="0.25"/>
    <row r="7563" hidden="1" x14ac:dyDescent="0.25"/>
    <row r="7564" hidden="1" x14ac:dyDescent="0.25"/>
    <row r="7565" hidden="1" x14ac:dyDescent="0.25"/>
    <row r="7566" hidden="1" x14ac:dyDescent="0.25"/>
    <row r="7567" hidden="1" x14ac:dyDescent="0.25"/>
    <row r="7568" hidden="1" x14ac:dyDescent="0.25"/>
    <row r="7569" hidden="1" x14ac:dyDescent="0.25"/>
    <row r="7570" hidden="1" x14ac:dyDescent="0.25"/>
    <row r="7571" hidden="1" x14ac:dyDescent="0.25"/>
    <row r="7572" hidden="1" x14ac:dyDescent="0.25"/>
    <row r="7573" hidden="1" x14ac:dyDescent="0.25"/>
    <row r="7574" hidden="1" x14ac:dyDescent="0.25"/>
    <row r="7575" hidden="1" x14ac:dyDescent="0.25"/>
    <row r="7576" hidden="1" x14ac:dyDescent="0.25"/>
    <row r="7577" hidden="1" x14ac:dyDescent="0.25"/>
    <row r="7578" hidden="1" x14ac:dyDescent="0.25"/>
    <row r="7579" hidden="1" x14ac:dyDescent="0.25"/>
    <row r="7580" hidden="1" x14ac:dyDescent="0.25"/>
    <row r="7581" hidden="1" x14ac:dyDescent="0.25"/>
    <row r="7582" hidden="1" x14ac:dyDescent="0.25"/>
    <row r="7583" hidden="1" x14ac:dyDescent="0.25"/>
    <row r="7584" hidden="1" x14ac:dyDescent="0.25"/>
    <row r="7585" hidden="1" x14ac:dyDescent="0.25"/>
    <row r="7586" hidden="1" x14ac:dyDescent="0.25"/>
    <row r="7587" hidden="1" x14ac:dyDescent="0.25"/>
    <row r="7588" hidden="1" x14ac:dyDescent="0.25"/>
    <row r="7589" hidden="1" x14ac:dyDescent="0.25"/>
    <row r="7590" hidden="1" x14ac:dyDescent="0.25"/>
    <row r="7591" hidden="1" x14ac:dyDescent="0.25"/>
    <row r="7592" hidden="1" x14ac:dyDescent="0.25"/>
    <row r="7593" hidden="1" x14ac:dyDescent="0.25"/>
    <row r="7594" hidden="1" x14ac:dyDescent="0.25"/>
    <row r="7595" hidden="1" x14ac:dyDescent="0.25"/>
    <row r="7596" hidden="1" x14ac:dyDescent="0.25"/>
    <row r="7597" hidden="1" x14ac:dyDescent="0.25"/>
    <row r="7598" hidden="1" x14ac:dyDescent="0.25"/>
    <row r="7599" hidden="1" x14ac:dyDescent="0.25"/>
    <row r="7600" hidden="1" x14ac:dyDescent="0.25"/>
    <row r="7601" hidden="1" x14ac:dyDescent="0.25"/>
    <row r="7602" hidden="1" x14ac:dyDescent="0.25"/>
    <row r="7603" hidden="1" x14ac:dyDescent="0.25"/>
    <row r="7604" hidden="1" x14ac:dyDescent="0.25"/>
    <row r="7605" hidden="1" x14ac:dyDescent="0.25"/>
    <row r="7606" hidden="1" x14ac:dyDescent="0.25"/>
    <row r="7607" hidden="1" x14ac:dyDescent="0.25"/>
    <row r="7608" hidden="1" x14ac:dyDescent="0.25"/>
    <row r="7609" hidden="1" x14ac:dyDescent="0.25"/>
    <row r="7610" hidden="1" x14ac:dyDescent="0.25"/>
    <row r="7611" hidden="1" x14ac:dyDescent="0.25"/>
    <row r="7612" hidden="1" x14ac:dyDescent="0.25"/>
    <row r="7613" hidden="1" x14ac:dyDescent="0.25"/>
    <row r="7614" hidden="1" x14ac:dyDescent="0.25"/>
    <row r="7615" hidden="1" x14ac:dyDescent="0.25"/>
    <row r="7616" hidden="1" x14ac:dyDescent="0.25"/>
    <row r="7617" hidden="1" x14ac:dyDescent="0.25"/>
    <row r="7618" hidden="1" x14ac:dyDescent="0.25"/>
    <row r="7619" hidden="1" x14ac:dyDescent="0.25"/>
    <row r="7620" hidden="1" x14ac:dyDescent="0.25"/>
    <row r="7621" hidden="1" x14ac:dyDescent="0.25"/>
    <row r="7622" hidden="1" x14ac:dyDescent="0.25"/>
    <row r="7623" hidden="1" x14ac:dyDescent="0.25"/>
    <row r="7624" hidden="1" x14ac:dyDescent="0.25"/>
    <row r="7625" hidden="1" x14ac:dyDescent="0.25"/>
    <row r="7626" hidden="1" x14ac:dyDescent="0.25"/>
    <row r="7627" hidden="1" x14ac:dyDescent="0.25"/>
    <row r="7628" hidden="1" x14ac:dyDescent="0.25"/>
    <row r="7629" hidden="1" x14ac:dyDescent="0.25"/>
    <row r="7630" hidden="1" x14ac:dyDescent="0.25"/>
    <row r="7631" hidden="1" x14ac:dyDescent="0.25"/>
    <row r="7632" hidden="1" x14ac:dyDescent="0.25"/>
    <row r="7633" hidden="1" x14ac:dyDescent="0.25"/>
    <row r="7634" hidden="1" x14ac:dyDescent="0.25"/>
    <row r="7635" hidden="1" x14ac:dyDescent="0.25"/>
    <row r="7636" hidden="1" x14ac:dyDescent="0.25"/>
    <row r="7637" hidden="1" x14ac:dyDescent="0.25"/>
    <row r="7638" hidden="1" x14ac:dyDescent="0.25"/>
    <row r="7639" hidden="1" x14ac:dyDescent="0.25"/>
    <row r="7640" hidden="1" x14ac:dyDescent="0.25"/>
    <row r="7641" hidden="1" x14ac:dyDescent="0.25"/>
    <row r="7642" hidden="1" x14ac:dyDescent="0.25"/>
    <row r="7643" hidden="1" x14ac:dyDescent="0.25"/>
    <row r="7644" hidden="1" x14ac:dyDescent="0.25"/>
    <row r="7645" hidden="1" x14ac:dyDescent="0.25"/>
    <row r="7646" hidden="1" x14ac:dyDescent="0.25"/>
    <row r="7647" hidden="1" x14ac:dyDescent="0.25"/>
    <row r="7648" hidden="1" x14ac:dyDescent="0.25"/>
    <row r="7649" hidden="1" x14ac:dyDescent="0.25"/>
    <row r="7650" hidden="1" x14ac:dyDescent="0.25"/>
    <row r="7651" hidden="1" x14ac:dyDescent="0.25"/>
    <row r="7652" hidden="1" x14ac:dyDescent="0.25"/>
    <row r="7653" hidden="1" x14ac:dyDescent="0.25"/>
    <row r="7654" hidden="1" x14ac:dyDescent="0.25"/>
    <row r="7655" hidden="1" x14ac:dyDescent="0.25"/>
    <row r="7656" hidden="1" x14ac:dyDescent="0.25"/>
    <row r="7657" hidden="1" x14ac:dyDescent="0.25"/>
    <row r="7658" hidden="1" x14ac:dyDescent="0.25"/>
    <row r="7659" hidden="1" x14ac:dyDescent="0.25"/>
    <row r="7660" hidden="1" x14ac:dyDescent="0.25"/>
    <row r="7661" hidden="1" x14ac:dyDescent="0.25"/>
    <row r="7662" hidden="1" x14ac:dyDescent="0.25"/>
    <row r="7663" hidden="1" x14ac:dyDescent="0.25"/>
    <row r="7664" hidden="1" x14ac:dyDescent="0.25"/>
    <row r="7665" hidden="1" x14ac:dyDescent="0.25"/>
    <row r="7666" hidden="1" x14ac:dyDescent="0.25"/>
    <row r="7667" hidden="1" x14ac:dyDescent="0.25"/>
    <row r="7668" hidden="1" x14ac:dyDescent="0.25"/>
    <row r="7669" hidden="1" x14ac:dyDescent="0.25"/>
    <row r="7670" hidden="1" x14ac:dyDescent="0.25"/>
    <row r="7671" hidden="1" x14ac:dyDescent="0.25"/>
    <row r="7672" hidden="1" x14ac:dyDescent="0.25"/>
    <row r="7673" hidden="1" x14ac:dyDescent="0.25"/>
    <row r="7674" hidden="1" x14ac:dyDescent="0.25"/>
    <row r="7675" hidden="1" x14ac:dyDescent="0.25"/>
    <row r="7676" hidden="1" x14ac:dyDescent="0.25"/>
    <row r="7677" hidden="1" x14ac:dyDescent="0.25"/>
    <row r="7678" hidden="1" x14ac:dyDescent="0.25"/>
    <row r="7679" hidden="1" x14ac:dyDescent="0.25"/>
    <row r="7680" hidden="1" x14ac:dyDescent="0.25"/>
    <row r="7681" hidden="1" x14ac:dyDescent="0.25"/>
    <row r="7682" hidden="1" x14ac:dyDescent="0.25"/>
    <row r="7683" hidden="1" x14ac:dyDescent="0.25"/>
    <row r="7684" hidden="1" x14ac:dyDescent="0.25"/>
    <row r="7685" hidden="1" x14ac:dyDescent="0.25"/>
    <row r="7686" hidden="1" x14ac:dyDescent="0.25"/>
    <row r="7687" hidden="1" x14ac:dyDescent="0.25"/>
    <row r="7688" hidden="1" x14ac:dyDescent="0.25"/>
    <row r="7689" hidden="1" x14ac:dyDescent="0.25"/>
    <row r="7690" hidden="1" x14ac:dyDescent="0.25"/>
    <row r="7691" hidden="1" x14ac:dyDescent="0.25"/>
    <row r="7692" hidden="1" x14ac:dyDescent="0.25"/>
    <row r="7693" hidden="1" x14ac:dyDescent="0.25"/>
    <row r="7694" hidden="1" x14ac:dyDescent="0.25"/>
    <row r="7695" hidden="1" x14ac:dyDescent="0.25"/>
    <row r="7696" hidden="1" x14ac:dyDescent="0.25"/>
    <row r="7697" hidden="1" x14ac:dyDescent="0.25"/>
    <row r="7698" hidden="1" x14ac:dyDescent="0.25"/>
    <row r="7699" hidden="1" x14ac:dyDescent="0.25"/>
    <row r="7700" hidden="1" x14ac:dyDescent="0.25"/>
    <row r="7701" hidden="1" x14ac:dyDescent="0.25"/>
    <row r="7702" hidden="1" x14ac:dyDescent="0.25"/>
    <row r="7703" hidden="1" x14ac:dyDescent="0.25"/>
    <row r="7704" hidden="1" x14ac:dyDescent="0.25"/>
    <row r="7705" hidden="1" x14ac:dyDescent="0.25"/>
    <row r="7706" hidden="1" x14ac:dyDescent="0.25"/>
    <row r="7707" hidden="1" x14ac:dyDescent="0.25"/>
    <row r="7708" hidden="1" x14ac:dyDescent="0.25"/>
    <row r="7709" hidden="1" x14ac:dyDescent="0.25"/>
    <row r="7710" hidden="1" x14ac:dyDescent="0.25"/>
    <row r="7711" hidden="1" x14ac:dyDescent="0.25"/>
    <row r="7712" hidden="1" x14ac:dyDescent="0.25"/>
    <row r="7713" hidden="1" x14ac:dyDescent="0.25"/>
    <row r="7714" hidden="1" x14ac:dyDescent="0.25"/>
    <row r="7715" hidden="1" x14ac:dyDescent="0.25"/>
    <row r="7716" hidden="1" x14ac:dyDescent="0.25"/>
    <row r="7717" hidden="1" x14ac:dyDescent="0.25"/>
    <row r="7718" hidden="1" x14ac:dyDescent="0.25"/>
    <row r="7719" hidden="1" x14ac:dyDescent="0.25"/>
    <row r="7720" hidden="1" x14ac:dyDescent="0.25"/>
    <row r="7721" hidden="1" x14ac:dyDescent="0.25"/>
    <row r="7722" hidden="1" x14ac:dyDescent="0.25"/>
    <row r="7723" hidden="1" x14ac:dyDescent="0.25"/>
    <row r="7724" hidden="1" x14ac:dyDescent="0.25"/>
    <row r="7725" hidden="1" x14ac:dyDescent="0.25"/>
    <row r="7726" hidden="1" x14ac:dyDescent="0.25"/>
    <row r="7727" hidden="1" x14ac:dyDescent="0.25"/>
    <row r="7728" hidden="1" x14ac:dyDescent="0.25"/>
    <row r="7729" hidden="1" x14ac:dyDescent="0.25"/>
    <row r="7730" hidden="1" x14ac:dyDescent="0.25"/>
    <row r="7731" hidden="1" x14ac:dyDescent="0.25"/>
    <row r="7732" hidden="1" x14ac:dyDescent="0.25"/>
    <row r="7733" hidden="1" x14ac:dyDescent="0.25"/>
    <row r="7734" hidden="1" x14ac:dyDescent="0.25"/>
    <row r="7735" hidden="1" x14ac:dyDescent="0.25"/>
    <row r="7736" hidden="1" x14ac:dyDescent="0.25"/>
    <row r="7737" hidden="1" x14ac:dyDescent="0.25"/>
    <row r="7738" hidden="1" x14ac:dyDescent="0.25"/>
    <row r="7739" hidden="1" x14ac:dyDescent="0.25"/>
    <row r="7740" hidden="1" x14ac:dyDescent="0.25"/>
    <row r="7741" hidden="1" x14ac:dyDescent="0.25"/>
    <row r="7742" hidden="1" x14ac:dyDescent="0.25"/>
    <row r="7743" hidden="1" x14ac:dyDescent="0.25"/>
    <row r="7744" hidden="1" x14ac:dyDescent="0.25"/>
    <row r="7745" hidden="1" x14ac:dyDescent="0.25"/>
    <row r="7746" hidden="1" x14ac:dyDescent="0.25"/>
    <row r="7747" hidden="1" x14ac:dyDescent="0.25"/>
    <row r="7748" hidden="1" x14ac:dyDescent="0.25"/>
    <row r="7749" hidden="1" x14ac:dyDescent="0.25"/>
    <row r="7750" hidden="1" x14ac:dyDescent="0.25"/>
    <row r="7751" hidden="1" x14ac:dyDescent="0.25"/>
    <row r="7752" hidden="1" x14ac:dyDescent="0.25"/>
    <row r="7753" hidden="1" x14ac:dyDescent="0.25"/>
    <row r="7754" hidden="1" x14ac:dyDescent="0.25"/>
    <row r="7755" hidden="1" x14ac:dyDescent="0.25"/>
    <row r="7756" hidden="1" x14ac:dyDescent="0.25"/>
    <row r="7757" hidden="1" x14ac:dyDescent="0.25"/>
    <row r="7758" hidden="1" x14ac:dyDescent="0.25"/>
    <row r="7759" hidden="1" x14ac:dyDescent="0.25"/>
    <row r="7760" hidden="1" x14ac:dyDescent="0.25"/>
    <row r="7761" hidden="1" x14ac:dyDescent="0.25"/>
    <row r="7762" hidden="1" x14ac:dyDescent="0.25"/>
    <row r="7763" hidden="1" x14ac:dyDescent="0.25"/>
    <row r="7764" hidden="1" x14ac:dyDescent="0.25"/>
    <row r="7765" hidden="1" x14ac:dyDescent="0.25"/>
    <row r="7766" hidden="1" x14ac:dyDescent="0.25"/>
    <row r="7767" hidden="1" x14ac:dyDescent="0.25"/>
    <row r="7768" hidden="1" x14ac:dyDescent="0.25"/>
    <row r="7769" hidden="1" x14ac:dyDescent="0.25"/>
    <row r="7770" hidden="1" x14ac:dyDescent="0.25"/>
    <row r="7771" hidden="1" x14ac:dyDescent="0.25"/>
    <row r="7772" hidden="1" x14ac:dyDescent="0.25"/>
    <row r="7773" hidden="1" x14ac:dyDescent="0.25"/>
    <row r="7774" hidden="1" x14ac:dyDescent="0.25"/>
    <row r="7775" hidden="1" x14ac:dyDescent="0.25"/>
    <row r="7776" hidden="1" x14ac:dyDescent="0.25"/>
    <row r="7777" hidden="1" x14ac:dyDescent="0.25"/>
    <row r="7778" hidden="1" x14ac:dyDescent="0.25"/>
    <row r="7779" hidden="1" x14ac:dyDescent="0.25"/>
    <row r="7780" hidden="1" x14ac:dyDescent="0.25"/>
    <row r="7781" hidden="1" x14ac:dyDescent="0.25"/>
    <row r="7782" hidden="1" x14ac:dyDescent="0.25"/>
    <row r="7783" hidden="1" x14ac:dyDescent="0.25"/>
    <row r="7784" hidden="1" x14ac:dyDescent="0.25"/>
    <row r="7785" hidden="1" x14ac:dyDescent="0.25"/>
    <row r="7786" hidden="1" x14ac:dyDescent="0.25"/>
    <row r="7787" hidden="1" x14ac:dyDescent="0.25"/>
    <row r="7788" hidden="1" x14ac:dyDescent="0.25"/>
    <row r="7789" hidden="1" x14ac:dyDescent="0.25"/>
    <row r="7790" hidden="1" x14ac:dyDescent="0.25"/>
    <row r="7791" hidden="1" x14ac:dyDescent="0.25"/>
    <row r="7792" hidden="1" x14ac:dyDescent="0.25"/>
    <row r="7793" hidden="1" x14ac:dyDescent="0.25"/>
    <row r="7794" hidden="1" x14ac:dyDescent="0.25"/>
    <row r="7795" hidden="1" x14ac:dyDescent="0.25"/>
    <row r="7796" hidden="1" x14ac:dyDescent="0.25"/>
    <row r="7797" hidden="1" x14ac:dyDescent="0.25"/>
    <row r="7798" hidden="1" x14ac:dyDescent="0.25"/>
    <row r="7799" hidden="1" x14ac:dyDescent="0.25"/>
    <row r="7800" hidden="1" x14ac:dyDescent="0.25"/>
    <row r="7801" hidden="1" x14ac:dyDescent="0.25"/>
    <row r="7802" hidden="1" x14ac:dyDescent="0.25"/>
    <row r="7803" hidden="1" x14ac:dyDescent="0.25"/>
    <row r="7804" hidden="1" x14ac:dyDescent="0.25"/>
    <row r="7805" hidden="1" x14ac:dyDescent="0.25"/>
    <row r="7806" hidden="1" x14ac:dyDescent="0.25"/>
    <row r="7807" hidden="1" x14ac:dyDescent="0.25"/>
    <row r="7808" hidden="1" x14ac:dyDescent="0.25"/>
    <row r="7809" hidden="1" x14ac:dyDescent="0.25"/>
    <row r="7810" hidden="1" x14ac:dyDescent="0.25"/>
    <row r="7811" hidden="1" x14ac:dyDescent="0.25"/>
    <row r="7812" hidden="1" x14ac:dyDescent="0.25"/>
    <row r="7813" hidden="1" x14ac:dyDescent="0.25"/>
    <row r="7814" hidden="1" x14ac:dyDescent="0.25"/>
    <row r="7815" hidden="1" x14ac:dyDescent="0.25"/>
    <row r="7816" hidden="1" x14ac:dyDescent="0.25"/>
    <row r="7817" hidden="1" x14ac:dyDescent="0.25"/>
    <row r="7818" hidden="1" x14ac:dyDescent="0.25"/>
    <row r="7819" hidden="1" x14ac:dyDescent="0.25"/>
    <row r="7820" hidden="1" x14ac:dyDescent="0.25"/>
    <row r="7821" hidden="1" x14ac:dyDescent="0.25"/>
    <row r="7822" hidden="1" x14ac:dyDescent="0.25"/>
    <row r="7823" hidden="1" x14ac:dyDescent="0.25"/>
    <row r="7824" hidden="1" x14ac:dyDescent="0.25"/>
    <row r="7825" hidden="1" x14ac:dyDescent="0.25"/>
    <row r="7826" hidden="1" x14ac:dyDescent="0.25"/>
    <row r="7827" hidden="1" x14ac:dyDescent="0.25"/>
    <row r="7828" hidden="1" x14ac:dyDescent="0.25"/>
    <row r="7829" hidden="1" x14ac:dyDescent="0.25"/>
    <row r="7830" hidden="1" x14ac:dyDescent="0.25"/>
    <row r="7831" hidden="1" x14ac:dyDescent="0.25"/>
    <row r="7832" hidden="1" x14ac:dyDescent="0.25"/>
    <row r="7833" hidden="1" x14ac:dyDescent="0.25"/>
    <row r="7834" hidden="1" x14ac:dyDescent="0.25"/>
    <row r="7835" hidden="1" x14ac:dyDescent="0.25"/>
    <row r="7836" hidden="1" x14ac:dyDescent="0.25"/>
    <row r="7837" hidden="1" x14ac:dyDescent="0.25"/>
    <row r="7838" hidden="1" x14ac:dyDescent="0.25"/>
    <row r="7839" hidden="1" x14ac:dyDescent="0.25"/>
    <row r="7840" hidden="1" x14ac:dyDescent="0.25"/>
    <row r="7841" hidden="1" x14ac:dyDescent="0.25"/>
    <row r="7842" hidden="1" x14ac:dyDescent="0.25"/>
    <row r="7843" hidden="1" x14ac:dyDescent="0.25"/>
    <row r="7844" hidden="1" x14ac:dyDescent="0.25"/>
    <row r="7845" hidden="1" x14ac:dyDescent="0.25"/>
    <row r="7846" hidden="1" x14ac:dyDescent="0.25"/>
    <row r="7847" hidden="1" x14ac:dyDescent="0.25"/>
    <row r="7848" hidden="1" x14ac:dyDescent="0.25"/>
    <row r="7849" hidden="1" x14ac:dyDescent="0.25"/>
    <row r="7850" hidden="1" x14ac:dyDescent="0.25"/>
    <row r="7851" hidden="1" x14ac:dyDescent="0.25"/>
    <row r="7852" hidden="1" x14ac:dyDescent="0.25"/>
    <row r="7853" hidden="1" x14ac:dyDescent="0.25"/>
    <row r="7854" hidden="1" x14ac:dyDescent="0.25"/>
    <row r="7855" hidden="1" x14ac:dyDescent="0.25"/>
    <row r="7856" hidden="1" x14ac:dyDescent="0.25"/>
    <row r="7857" hidden="1" x14ac:dyDescent="0.25"/>
    <row r="7858" hidden="1" x14ac:dyDescent="0.25"/>
    <row r="7859" hidden="1" x14ac:dyDescent="0.25"/>
    <row r="7860" hidden="1" x14ac:dyDescent="0.25"/>
    <row r="7861" hidden="1" x14ac:dyDescent="0.25"/>
    <row r="7862" hidden="1" x14ac:dyDescent="0.25"/>
    <row r="7863" hidden="1" x14ac:dyDescent="0.25"/>
    <row r="7864" hidden="1" x14ac:dyDescent="0.25"/>
    <row r="7865" hidden="1" x14ac:dyDescent="0.25"/>
    <row r="7866" hidden="1" x14ac:dyDescent="0.25"/>
    <row r="7867" hidden="1" x14ac:dyDescent="0.25"/>
    <row r="7868" hidden="1" x14ac:dyDescent="0.25"/>
    <row r="7869" hidden="1" x14ac:dyDescent="0.25"/>
    <row r="7870" hidden="1" x14ac:dyDescent="0.25"/>
    <row r="7871" hidden="1" x14ac:dyDescent="0.25"/>
    <row r="7872" hidden="1" x14ac:dyDescent="0.25"/>
    <row r="7873" hidden="1" x14ac:dyDescent="0.25"/>
    <row r="7874" hidden="1" x14ac:dyDescent="0.25"/>
    <row r="7875" hidden="1" x14ac:dyDescent="0.25"/>
    <row r="7876" hidden="1" x14ac:dyDescent="0.25"/>
    <row r="7877" hidden="1" x14ac:dyDescent="0.25"/>
    <row r="7878" hidden="1" x14ac:dyDescent="0.25"/>
    <row r="7879" hidden="1" x14ac:dyDescent="0.25"/>
    <row r="7880" hidden="1" x14ac:dyDescent="0.25"/>
    <row r="7881" hidden="1" x14ac:dyDescent="0.25"/>
    <row r="7882" hidden="1" x14ac:dyDescent="0.25"/>
    <row r="7883" hidden="1" x14ac:dyDescent="0.25"/>
    <row r="7884" hidden="1" x14ac:dyDescent="0.25"/>
    <row r="7885" hidden="1" x14ac:dyDescent="0.25"/>
    <row r="7886" hidden="1" x14ac:dyDescent="0.25"/>
    <row r="7887" hidden="1" x14ac:dyDescent="0.25"/>
    <row r="7888" hidden="1" x14ac:dyDescent="0.25"/>
    <row r="7889" hidden="1" x14ac:dyDescent="0.25"/>
    <row r="7890" hidden="1" x14ac:dyDescent="0.25"/>
    <row r="7891" hidden="1" x14ac:dyDescent="0.25"/>
    <row r="7892" hidden="1" x14ac:dyDescent="0.25"/>
    <row r="7893" hidden="1" x14ac:dyDescent="0.25"/>
    <row r="7894" hidden="1" x14ac:dyDescent="0.25"/>
    <row r="7895" hidden="1" x14ac:dyDescent="0.25"/>
    <row r="7896" hidden="1" x14ac:dyDescent="0.25"/>
    <row r="7897" hidden="1" x14ac:dyDescent="0.25"/>
    <row r="7898" hidden="1" x14ac:dyDescent="0.25"/>
    <row r="7899" hidden="1" x14ac:dyDescent="0.25"/>
    <row r="7900" hidden="1" x14ac:dyDescent="0.25"/>
    <row r="7901" hidden="1" x14ac:dyDescent="0.25"/>
    <row r="7902" hidden="1" x14ac:dyDescent="0.25"/>
    <row r="7903" hidden="1" x14ac:dyDescent="0.25"/>
    <row r="7904" hidden="1" x14ac:dyDescent="0.25"/>
    <row r="7905" hidden="1" x14ac:dyDescent="0.25"/>
    <row r="7906" hidden="1" x14ac:dyDescent="0.25"/>
    <row r="7907" hidden="1" x14ac:dyDescent="0.25"/>
    <row r="7908" hidden="1" x14ac:dyDescent="0.25"/>
    <row r="7909" hidden="1" x14ac:dyDescent="0.25"/>
    <row r="7910" hidden="1" x14ac:dyDescent="0.25"/>
    <row r="7911" hidden="1" x14ac:dyDescent="0.25"/>
    <row r="7912" hidden="1" x14ac:dyDescent="0.25"/>
    <row r="7913" hidden="1" x14ac:dyDescent="0.25"/>
    <row r="7914" hidden="1" x14ac:dyDescent="0.25"/>
    <row r="7915" hidden="1" x14ac:dyDescent="0.25"/>
    <row r="7916" hidden="1" x14ac:dyDescent="0.25"/>
    <row r="7917" hidden="1" x14ac:dyDescent="0.25"/>
    <row r="7918" hidden="1" x14ac:dyDescent="0.25"/>
    <row r="7919" hidden="1" x14ac:dyDescent="0.25"/>
    <row r="7920" hidden="1" x14ac:dyDescent="0.25"/>
    <row r="7921" hidden="1" x14ac:dyDescent="0.25"/>
    <row r="7922" hidden="1" x14ac:dyDescent="0.25"/>
    <row r="7923" hidden="1" x14ac:dyDescent="0.25"/>
    <row r="7924" hidden="1" x14ac:dyDescent="0.25"/>
    <row r="7925" hidden="1" x14ac:dyDescent="0.25"/>
    <row r="7926" hidden="1" x14ac:dyDescent="0.25"/>
    <row r="7927" hidden="1" x14ac:dyDescent="0.25"/>
    <row r="7928" hidden="1" x14ac:dyDescent="0.25"/>
    <row r="7929" hidden="1" x14ac:dyDescent="0.25"/>
    <row r="7930" hidden="1" x14ac:dyDescent="0.25"/>
    <row r="7931" hidden="1" x14ac:dyDescent="0.25"/>
    <row r="7932" hidden="1" x14ac:dyDescent="0.25"/>
    <row r="7933" hidden="1" x14ac:dyDescent="0.25"/>
    <row r="7934" hidden="1" x14ac:dyDescent="0.25"/>
    <row r="7935" hidden="1" x14ac:dyDescent="0.25"/>
    <row r="7936" hidden="1" x14ac:dyDescent="0.25"/>
    <row r="7937" hidden="1" x14ac:dyDescent="0.25"/>
    <row r="7938" hidden="1" x14ac:dyDescent="0.25"/>
    <row r="7939" hidden="1" x14ac:dyDescent="0.25"/>
    <row r="7940" hidden="1" x14ac:dyDescent="0.25"/>
    <row r="7941" hidden="1" x14ac:dyDescent="0.25"/>
    <row r="7942" hidden="1" x14ac:dyDescent="0.25"/>
    <row r="7943" hidden="1" x14ac:dyDescent="0.25"/>
    <row r="7944" hidden="1" x14ac:dyDescent="0.25"/>
    <row r="7945" hidden="1" x14ac:dyDescent="0.25"/>
    <row r="7946" hidden="1" x14ac:dyDescent="0.25"/>
    <row r="7947" hidden="1" x14ac:dyDescent="0.25"/>
    <row r="7948" hidden="1" x14ac:dyDescent="0.25"/>
    <row r="7949" hidden="1" x14ac:dyDescent="0.25"/>
    <row r="7950" hidden="1" x14ac:dyDescent="0.25"/>
    <row r="7951" hidden="1" x14ac:dyDescent="0.25"/>
    <row r="7952" hidden="1" x14ac:dyDescent="0.25"/>
    <row r="7953" hidden="1" x14ac:dyDescent="0.25"/>
    <row r="7954" hidden="1" x14ac:dyDescent="0.25"/>
    <row r="7955" hidden="1" x14ac:dyDescent="0.25"/>
    <row r="7956" hidden="1" x14ac:dyDescent="0.25"/>
    <row r="7957" hidden="1" x14ac:dyDescent="0.25"/>
    <row r="7958" hidden="1" x14ac:dyDescent="0.25"/>
    <row r="7959" hidden="1" x14ac:dyDescent="0.25"/>
    <row r="7960" hidden="1" x14ac:dyDescent="0.25"/>
    <row r="7961" hidden="1" x14ac:dyDescent="0.25"/>
    <row r="7962" hidden="1" x14ac:dyDescent="0.25"/>
    <row r="7963" hidden="1" x14ac:dyDescent="0.25"/>
    <row r="7964" hidden="1" x14ac:dyDescent="0.25"/>
    <row r="7965" hidden="1" x14ac:dyDescent="0.25"/>
    <row r="7966" hidden="1" x14ac:dyDescent="0.25"/>
    <row r="7967" hidden="1" x14ac:dyDescent="0.25"/>
    <row r="7968" hidden="1" x14ac:dyDescent="0.25"/>
    <row r="7969" hidden="1" x14ac:dyDescent="0.25"/>
    <row r="7970" hidden="1" x14ac:dyDescent="0.25"/>
    <row r="7971" hidden="1" x14ac:dyDescent="0.25"/>
    <row r="7972" hidden="1" x14ac:dyDescent="0.25"/>
    <row r="7973" hidden="1" x14ac:dyDescent="0.25"/>
    <row r="7974" hidden="1" x14ac:dyDescent="0.25"/>
    <row r="7975" hidden="1" x14ac:dyDescent="0.25"/>
    <row r="7976" hidden="1" x14ac:dyDescent="0.25"/>
    <row r="7977" hidden="1" x14ac:dyDescent="0.25"/>
    <row r="7978" hidden="1" x14ac:dyDescent="0.25"/>
    <row r="7979" hidden="1" x14ac:dyDescent="0.25"/>
    <row r="7980" hidden="1" x14ac:dyDescent="0.25"/>
    <row r="7981" hidden="1" x14ac:dyDescent="0.25"/>
    <row r="7982" hidden="1" x14ac:dyDescent="0.25"/>
    <row r="7983" hidden="1" x14ac:dyDescent="0.25"/>
    <row r="7984" hidden="1" x14ac:dyDescent="0.25"/>
    <row r="7985" hidden="1" x14ac:dyDescent="0.25"/>
    <row r="7986" hidden="1" x14ac:dyDescent="0.25"/>
    <row r="7987" hidden="1" x14ac:dyDescent="0.25"/>
    <row r="7988" hidden="1" x14ac:dyDescent="0.25"/>
    <row r="7989" hidden="1" x14ac:dyDescent="0.25"/>
    <row r="7990" hidden="1" x14ac:dyDescent="0.25"/>
    <row r="7991" hidden="1" x14ac:dyDescent="0.25"/>
    <row r="7992" hidden="1" x14ac:dyDescent="0.25"/>
    <row r="7993" hidden="1" x14ac:dyDescent="0.25"/>
    <row r="7994" hidden="1" x14ac:dyDescent="0.25"/>
    <row r="7995" hidden="1" x14ac:dyDescent="0.25"/>
    <row r="7996" hidden="1" x14ac:dyDescent="0.25"/>
    <row r="7997" hidden="1" x14ac:dyDescent="0.25"/>
    <row r="7998" hidden="1" x14ac:dyDescent="0.25"/>
    <row r="7999" hidden="1" x14ac:dyDescent="0.25"/>
    <row r="8000" hidden="1" x14ac:dyDescent="0.25"/>
    <row r="8001" hidden="1" x14ac:dyDescent="0.25"/>
    <row r="8002" hidden="1" x14ac:dyDescent="0.25"/>
    <row r="8003" hidden="1" x14ac:dyDescent="0.25"/>
    <row r="8004" hidden="1" x14ac:dyDescent="0.25"/>
    <row r="8005" hidden="1" x14ac:dyDescent="0.25"/>
    <row r="8006" hidden="1" x14ac:dyDescent="0.25"/>
    <row r="8007" hidden="1" x14ac:dyDescent="0.25"/>
    <row r="8008" hidden="1" x14ac:dyDescent="0.25"/>
    <row r="8009" hidden="1" x14ac:dyDescent="0.25"/>
    <row r="8010" hidden="1" x14ac:dyDescent="0.25"/>
    <row r="8011" hidden="1" x14ac:dyDescent="0.25"/>
    <row r="8012" hidden="1" x14ac:dyDescent="0.25"/>
    <row r="8013" hidden="1" x14ac:dyDescent="0.25"/>
    <row r="8014" hidden="1" x14ac:dyDescent="0.25"/>
    <row r="8015" hidden="1" x14ac:dyDescent="0.25"/>
    <row r="8016" hidden="1" x14ac:dyDescent="0.25"/>
    <row r="8017" hidden="1" x14ac:dyDescent="0.25"/>
    <row r="8018" hidden="1" x14ac:dyDescent="0.25"/>
    <row r="8019" hidden="1" x14ac:dyDescent="0.25"/>
    <row r="8020" hidden="1" x14ac:dyDescent="0.25"/>
    <row r="8021" hidden="1" x14ac:dyDescent="0.25"/>
    <row r="8022" hidden="1" x14ac:dyDescent="0.25"/>
    <row r="8023" hidden="1" x14ac:dyDescent="0.25"/>
    <row r="8024" hidden="1" x14ac:dyDescent="0.25"/>
    <row r="8025" hidden="1" x14ac:dyDescent="0.25"/>
    <row r="8026" hidden="1" x14ac:dyDescent="0.25"/>
    <row r="8027" hidden="1" x14ac:dyDescent="0.25"/>
    <row r="8028" hidden="1" x14ac:dyDescent="0.25"/>
    <row r="8029" hidden="1" x14ac:dyDescent="0.25"/>
    <row r="8030" hidden="1" x14ac:dyDescent="0.25"/>
    <row r="8031" hidden="1" x14ac:dyDescent="0.25"/>
    <row r="8032" hidden="1" x14ac:dyDescent="0.25"/>
    <row r="8033" hidden="1" x14ac:dyDescent="0.25"/>
    <row r="8034" hidden="1" x14ac:dyDescent="0.25"/>
    <row r="8035" hidden="1" x14ac:dyDescent="0.25"/>
    <row r="8036" hidden="1" x14ac:dyDescent="0.25"/>
    <row r="8037" hidden="1" x14ac:dyDescent="0.25"/>
    <row r="8038" hidden="1" x14ac:dyDescent="0.25"/>
    <row r="8039" hidden="1" x14ac:dyDescent="0.25"/>
    <row r="8040" hidden="1" x14ac:dyDescent="0.25"/>
    <row r="8041" hidden="1" x14ac:dyDescent="0.25"/>
    <row r="8042" hidden="1" x14ac:dyDescent="0.25"/>
    <row r="8043" hidden="1" x14ac:dyDescent="0.25"/>
    <row r="8044" hidden="1" x14ac:dyDescent="0.25"/>
    <row r="8045" hidden="1" x14ac:dyDescent="0.25"/>
    <row r="8046" hidden="1" x14ac:dyDescent="0.25"/>
    <row r="8047" hidden="1" x14ac:dyDescent="0.25"/>
    <row r="8048" hidden="1" x14ac:dyDescent="0.25"/>
    <row r="8049" hidden="1" x14ac:dyDescent="0.25"/>
    <row r="8050" hidden="1" x14ac:dyDescent="0.25"/>
    <row r="8051" hidden="1" x14ac:dyDescent="0.25"/>
    <row r="8052" hidden="1" x14ac:dyDescent="0.25"/>
    <row r="8053" hidden="1" x14ac:dyDescent="0.25"/>
    <row r="8054" hidden="1" x14ac:dyDescent="0.25"/>
    <row r="8055" hidden="1" x14ac:dyDescent="0.25"/>
    <row r="8056" hidden="1" x14ac:dyDescent="0.25"/>
    <row r="8057" hidden="1" x14ac:dyDescent="0.25"/>
    <row r="8058" hidden="1" x14ac:dyDescent="0.25"/>
    <row r="8059" hidden="1" x14ac:dyDescent="0.25"/>
    <row r="8060" hidden="1" x14ac:dyDescent="0.25"/>
    <row r="8061" hidden="1" x14ac:dyDescent="0.25"/>
    <row r="8062" hidden="1" x14ac:dyDescent="0.25"/>
    <row r="8063" hidden="1" x14ac:dyDescent="0.25"/>
    <row r="8064" hidden="1" x14ac:dyDescent="0.25"/>
    <row r="8065" hidden="1" x14ac:dyDescent="0.25"/>
    <row r="8066" hidden="1" x14ac:dyDescent="0.25"/>
    <row r="8067" hidden="1" x14ac:dyDescent="0.25"/>
    <row r="8068" hidden="1" x14ac:dyDescent="0.25"/>
    <row r="8069" hidden="1" x14ac:dyDescent="0.25"/>
    <row r="8070" hidden="1" x14ac:dyDescent="0.25"/>
    <row r="8071" hidden="1" x14ac:dyDescent="0.25"/>
    <row r="8072" hidden="1" x14ac:dyDescent="0.25"/>
    <row r="8073" hidden="1" x14ac:dyDescent="0.25"/>
    <row r="8074" hidden="1" x14ac:dyDescent="0.25"/>
    <row r="8075" hidden="1" x14ac:dyDescent="0.25"/>
    <row r="8076" hidden="1" x14ac:dyDescent="0.25"/>
    <row r="8077" hidden="1" x14ac:dyDescent="0.25"/>
    <row r="8078" hidden="1" x14ac:dyDescent="0.25"/>
    <row r="8079" hidden="1" x14ac:dyDescent="0.25"/>
    <row r="8080" hidden="1" x14ac:dyDescent="0.25"/>
    <row r="8081" hidden="1" x14ac:dyDescent="0.25"/>
    <row r="8082" hidden="1" x14ac:dyDescent="0.25"/>
    <row r="8083" hidden="1" x14ac:dyDescent="0.25"/>
    <row r="8084" hidden="1" x14ac:dyDescent="0.25"/>
    <row r="8085" hidden="1" x14ac:dyDescent="0.25"/>
    <row r="8086" hidden="1" x14ac:dyDescent="0.25"/>
    <row r="8087" hidden="1" x14ac:dyDescent="0.25"/>
    <row r="8088" hidden="1" x14ac:dyDescent="0.25"/>
    <row r="8089" hidden="1" x14ac:dyDescent="0.25"/>
    <row r="8090" hidden="1" x14ac:dyDescent="0.25"/>
    <row r="8091" hidden="1" x14ac:dyDescent="0.25"/>
    <row r="8092" hidden="1" x14ac:dyDescent="0.25"/>
    <row r="8093" hidden="1" x14ac:dyDescent="0.25"/>
    <row r="8094" hidden="1" x14ac:dyDescent="0.25"/>
    <row r="8095" hidden="1" x14ac:dyDescent="0.25"/>
    <row r="8096" hidden="1" x14ac:dyDescent="0.25"/>
    <row r="8097" hidden="1" x14ac:dyDescent="0.25"/>
    <row r="8098" hidden="1" x14ac:dyDescent="0.25"/>
    <row r="8099" hidden="1" x14ac:dyDescent="0.25"/>
    <row r="8100" hidden="1" x14ac:dyDescent="0.25"/>
    <row r="8101" hidden="1" x14ac:dyDescent="0.25"/>
    <row r="8102" hidden="1" x14ac:dyDescent="0.25"/>
    <row r="8103" hidden="1" x14ac:dyDescent="0.25"/>
    <row r="8104" hidden="1" x14ac:dyDescent="0.25"/>
    <row r="8105" hidden="1" x14ac:dyDescent="0.25"/>
    <row r="8106" hidden="1" x14ac:dyDescent="0.25"/>
    <row r="8107" hidden="1" x14ac:dyDescent="0.25"/>
    <row r="8108" hidden="1" x14ac:dyDescent="0.25"/>
    <row r="8109" hidden="1" x14ac:dyDescent="0.25"/>
    <row r="8110" hidden="1" x14ac:dyDescent="0.25"/>
    <row r="8111" hidden="1" x14ac:dyDescent="0.25"/>
    <row r="8112" hidden="1" x14ac:dyDescent="0.25"/>
    <row r="8113" hidden="1" x14ac:dyDescent="0.25"/>
    <row r="8114" hidden="1" x14ac:dyDescent="0.25"/>
    <row r="8115" hidden="1" x14ac:dyDescent="0.25"/>
    <row r="8116" hidden="1" x14ac:dyDescent="0.25"/>
    <row r="8117" hidden="1" x14ac:dyDescent="0.25"/>
    <row r="8118" hidden="1" x14ac:dyDescent="0.25"/>
    <row r="8119" hidden="1" x14ac:dyDescent="0.25"/>
    <row r="8120" hidden="1" x14ac:dyDescent="0.25"/>
    <row r="8121" hidden="1" x14ac:dyDescent="0.25"/>
    <row r="8122" hidden="1" x14ac:dyDescent="0.25"/>
    <row r="8123" hidden="1" x14ac:dyDescent="0.25"/>
    <row r="8124" hidden="1" x14ac:dyDescent="0.25"/>
    <row r="8125" hidden="1" x14ac:dyDescent="0.25"/>
    <row r="8126" hidden="1" x14ac:dyDescent="0.25"/>
    <row r="8127" hidden="1" x14ac:dyDescent="0.25"/>
    <row r="8128" hidden="1" x14ac:dyDescent="0.25"/>
    <row r="8129" hidden="1" x14ac:dyDescent="0.25"/>
    <row r="8130" hidden="1" x14ac:dyDescent="0.25"/>
    <row r="8131" hidden="1" x14ac:dyDescent="0.25"/>
    <row r="8132" hidden="1" x14ac:dyDescent="0.25"/>
    <row r="8133" hidden="1" x14ac:dyDescent="0.25"/>
    <row r="8134" hidden="1" x14ac:dyDescent="0.25"/>
    <row r="8135" hidden="1" x14ac:dyDescent="0.25"/>
    <row r="8136" hidden="1" x14ac:dyDescent="0.25"/>
    <row r="8137" hidden="1" x14ac:dyDescent="0.25"/>
    <row r="8138" hidden="1" x14ac:dyDescent="0.25"/>
    <row r="8139" hidden="1" x14ac:dyDescent="0.25"/>
    <row r="8140" hidden="1" x14ac:dyDescent="0.25"/>
    <row r="8141" hidden="1" x14ac:dyDescent="0.25"/>
    <row r="8142" hidden="1" x14ac:dyDescent="0.25"/>
    <row r="8143" hidden="1" x14ac:dyDescent="0.25"/>
    <row r="8144" hidden="1" x14ac:dyDescent="0.25"/>
    <row r="8145" hidden="1" x14ac:dyDescent="0.25"/>
    <row r="8146" hidden="1" x14ac:dyDescent="0.25"/>
    <row r="8147" hidden="1" x14ac:dyDescent="0.25"/>
    <row r="8148" hidden="1" x14ac:dyDescent="0.25"/>
    <row r="8149" hidden="1" x14ac:dyDescent="0.25"/>
    <row r="8150" hidden="1" x14ac:dyDescent="0.25"/>
    <row r="8151" hidden="1" x14ac:dyDescent="0.25"/>
    <row r="8152" hidden="1" x14ac:dyDescent="0.25"/>
    <row r="8153" hidden="1" x14ac:dyDescent="0.25"/>
    <row r="8154" hidden="1" x14ac:dyDescent="0.25"/>
    <row r="8155" hidden="1" x14ac:dyDescent="0.25"/>
    <row r="8156" hidden="1" x14ac:dyDescent="0.25"/>
    <row r="8157" hidden="1" x14ac:dyDescent="0.25"/>
    <row r="8158" hidden="1" x14ac:dyDescent="0.25"/>
    <row r="8159" hidden="1" x14ac:dyDescent="0.25"/>
    <row r="8160" hidden="1" x14ac:dyDescent="0.25"/>
    <row r="8161" hidden="1" x14ac:dyDescent="0.25"/>
    <row r="8162" hidden="1" x14ac:dyDescent="0.25"/>
    <row r="8163" hidden="1" x14ac:dyDescent="0.25"/>
    <row r="8164" hidden="1" x14ac:dyDescent="0.25"/>
    <row r="8165" hidden="1" x14ac:dyDescent="0.25"/>
    <row r="8166" hidden="1" x14ac:dyDescent="0.25"/>
    <row r="8167" hidden="1" x14ac:dyDescent="0.25"/>
    <row r="8168" hidden="1" x14ac:dyDescent="0.25"/>
    <row r="8169" hidden="1" x14ac:dyDescent="0.25"/>
    <row r="8170" hidden="1" x14ac:dyDescent="0.25"/>
    <row r="8171" hidden="1" x14ac:dyDescent="0.25"/>
    <row r="8172" hidden="1" x14ac:dyDescent="0.25"/>
    <row r="8173" hidden="1" x14ac:dyDescent="0.25"/>
    <row r="8174" hidden="1" x14ac:dyDescent="0.25"/>
    <row r="8175" hidden="1" x14ac:dyDescent="0.25"/>
    <row r="8176" hidden="1" x14ac:dyDescent="0.25"/>
    <row r="8177" hidden="1" x14ac:dyDescent="0.25"/>
    <row r="8178" hidden="1" x14ac:dyDescent="0.25"/>
    <row r="8179" hidden="1" x14ac:dyDescent="0.25"/>
    <row r="8180" hidden="1" x14ac:dyDescent="0.25"/>
    <row r="8181" hidden="1" x14ac:dyDescent="0.25"/>
    <row r="8182" hidden="1" x14ac:dyDescent="0.25"/>
    <row r="8183" hidden="1" x14ac:dyDescent="0.25"/>
    <row r="8184" hidden="1" x14ac:dyDescent="0.25"/>
    <row r="8185" hidden="1" x14ac:dyDescent="0.25"/>
    <row r="8186" hidden="1" x14ac:dyDescent="0.25"/>
    <row r="8187" hidden="1" x14ac:dyDescent="0.25"/>
    <row r="8188" hidden="1" x14ac:dyDescent="0.25"/>
    <row r="8189" hidden="1" x14ac:dyDescent="0.25"/>
    <row r="8190" hidden="1" x14ac:dyDescent="0.25"/>
    <row r="8191" hidden="1" x14ac:dyDescent="0.25"/>
    <row r="8192" hidden="1" x14ac:dyDescent="0.25"/>
    <row r="8193" hidden="1" x14ac:dyDescent="0.25"/>
    <row r="8194" hidden="1" x14ac:dyDescent="0.25"/>
    <row r="8195" hidden="1" x14ac:dyDescent="0.25"/>
    <row r="8196" hidden="1" x14ac:dyDescent="0.25"/>
    <row r="8197" hidden="1" x14ac:dyDescent="0.25"/>
    <row r="8198" hidden="1" x14ac:dyDescent="0.25"/>
    <row r="8199" hidden="1" x14ac:dyDescent="0.25"/>
    <row r="8200" hidden="1" x14ac:dyDescent="0.25"/>
    <row r="8201" hidden="1" x14ac:dyDescent="0.25"/>
    <row r="8202" hidden="1" x14ac:dyDescent="0.25"/>
    <row r="8203" hidden="1" x14ac:dyDescent="0.25"/>
    <row r="8204" hidden="1" x14ac:dyDescent="0.25"/>
    <row r="8205" hidden="1" x14ac:dyDescent="0.25"/>
    <row r="8206" hidden="1" x14ac:dyDescent="0.25"/>
    <row r="8207" hidden="1" x14ac:dyDescent="0.25"/>
    <row r="8208" hidden="1" x14ac:dyDescent="0.25"/>
    <row r="8209" hidden="1" x14ac:dyDescent="0.25"/>
    <row r="8210" hidden="1" x14ac:dyDescent="0.25"/>
    <row r="8211" hidden="1" x14ac:dyDescent="0.25"/>
    <row r="8212" hidden="1" x14ac:dyDescent="0.25"/>
    <row r="8213" hidden="1" x14ac:dyDescent="0.25"/>
    <row r="8214" hidden="1" x14ac:dyDescent="0.25"/>
    <row r="8215" hidden="1" x14ac:dyDescent="0.25"/>
    <row r="8216" hidden="1" x14ac:dyDescent="0.25"/>
    <row r="8217" hidden="1" x14ac:dyDescent="0.25"/>
    <row r="8218" hidden="1" x14ac:dyDescent="0.25"/>
    <row r="8219" hidden="1" x14ac:dyDescent="0.25"/>
    <row r="8220" hidden="1" x14ac:dyDescent="0.25"/>
    <row r="8221" hidden="1" x14ac:dyDescent="0.25"/>
    <row r="8222" hidden="1" x14ac:dyDescent="0.25"/>
    <row r="8223" hidden="1" x14ac:dyDescent="0.25"/>
    <row r="8224" hidden="1" x14ac:dyDescent="0.25"/>
    <row r="8225" hidden="1" x14ac:dyDescent="0.25"/>
    <row r="8226" hidden="1" x14ac:dyDescent="0.25"/>
    <row r="8227" hidden="1" x14ac:dyDescent="0.25"/>
    <row r="8228" hidden="1" x14ac:dyDescent="0.25"/>
    <row r="8229" hidden="1" x14ac:dyDescent="0.25"/>
    <row r="8230" hidden="1" x14ac:dyDescent="0.25"/>
    <row r="8231" hidden="1" x14ac:dyDescent="0.25"/>
    <row r="8232" hidden="1" x14ac:dyDescent="0.25"/>
    <row r="8233" hidden="1" x14ac:dyDescent="0.25"/>
    <row r="8234" hidden="1" x14ac:dyDescent="0.25"/>
    <row r="8235" hidden="1" x14ac:dyDescent="0.25"/>
    <row r="8236" hidden="1" x14ac:dyDescent="0.25"/>
    <row r="8237" hidden="1" x14ac:dyDescent="0.25"/>
    <row r="8238" hidden="1" x14ac:dyDescent="0.25"/>
    <row r="8239" hidden="1" x14ac:dyDescent="0.25"/>
    <row r="8240" hidden="1" x14ac:dyDescent="0.25"/>
    <row r="8241" hidden="1" x14ac:dyDescent="0.25"/>
    <row r="8242" hidden="1" x14ac:dyDescent="0.25"/>
    <row r="8243" hidden="1" x14ac:dyDescent="0.25"/>
    <row r="8244" hidden="1" x14ac:dyDescent="0.25"/>
    <row r="8245" hidden="1" x14ac:dyDescent="0.25"/>
    <row r="8246" hidden="1" x14ac:dyDescent="0.25"/>
    <row r="8247" hidden="1" x14ac:dyDescent="0.25"/>
    <row r="8248" hidden="1" x14ac:dyDescent="0.25"/>
    <row r="8249" hidden="1" x14ac:dyDescent="0.25"/>
    <row r="8250" hidden="1" x14ac:dyDescent="0.25"/>
    <row r="8251" hidden="1" x14ac:dyDescent="0.25"/>
    <row r="8252" hidden="1" x14ac:dyDescent="0.25"/>
    <row r="8253" hidden="1" x14ac:dyDescent="0.25"/>
    <row r="8254" hidden="1" x14ac:dyDescent="0.25"/>
    <row r="8255" hidden="1" x14ac:dyDescent="0.25"/>
    <row r="8256" hidden="1" x14ac:dyDescent="0.25"/>
    <row r="8257" hidden="1" x14ac:dyDescent="0.25"/>
    <row r="8258" hidden="1" x14ac:dyDescent="0.25"/>
    <row r="8259" hidden="1" x14ac:dyDescent="0.25"/>
    <row r="8260" hidden="1" x14ac:dyDescent="0.25"/>
    <row r="8261" hidden="1" x14ac:dyDescent="0.25"/>
    <row r="8262" hidden="1" x14ac:dyDescent="0.25"/>
    <row r="8263" hidden="1" x14ac:dyDescent="0.25"/>
    <row r="8264" hidden="1" x14ac:dyDescent="0.25"/>
    <row r="8265" hidden="1" x14ac:dyDescent="0.25"/>
    <row r="8266" hidden="1" x14ac:dyDescent="0.25"/>
    <row r="8267" hidden="1" x14ac:dyDescent="0.25"/>
    <row r="8268" hidden="1" x14ac:dyDescent="0.25"/>
    <row r="8269" hidden="1" x14ac:dyDescent="0.25"/>
    <row r="8270" hidden="1" x14ac:dyDescent="0.25"/>
    <row r="8271" hidden="1" x14ac:dyDescent="0.25"/>
    <row r="8272" hidden="1" x14ac:dyDescent="0.25"/>
    <row r="8273" hidden="1" x14ac:dyDescent="0.25"/>
    <row r="8274" hidden="1" x14ac:dyDescent="0.25"/>
    <row r="8275" hidden="1" x14ac:dyDescent="0.25"/>
    <row r="8276" hidden="1" x14ac:dyDescent="0.25"/>
    <row r="8277" hidden="1" x14ac:dyDescent="0.25"/>
    <row r="8278" hidden="1" x14ac:dyDescent="0.25"/>
    <row r="8279" hidden="1" x14ac:dyDescent="0.25"/>
    <row r="8280" hidden="1" x14ac:dyDescent="0.25"/>
    <row r="8281" hidden="1" x14ac:dyDescent="0.25"/>
    <row r="8282" hidden="1" x14ac:dyDescent="0.25"/>
    <row r="8283" hidden="1" x14ac:dyDescent="0.25"/>
    <row r="8284" hidden="1" x14ac:dyDescent="0.25"/>
    <row r="8285" hidden="1" x14ac:dyDescent="0.25"/>
    <row r="8286" hidden="1" x14ac:dyDescent="0.25"/>
    <row r="8287" hidden="1" x14ac:dyDescent="0.25"/>
    <row r="8288" hidden="1" x14ac:dyDescent="0.25"/>
    <row r="8289" hidden="1" x14ac:dyDescent="0.25"/>
    <row r="8290" hidden="1" x14ac:dyDescent="0.25"/>
    <row r="8291" hidden="1" x14ac:dyDescent="0.25"/>
    <row r="8292" hidden="1" x14ac:dyDescent="0.25"/>
    <row r="8293" hidden="1" x14ac:dyDescent="0.25"/>
    <row r="8294" hidden="1" x14ac:dyDescent="0.25"/>
    <row r="8295" hidden="1" x14ac:dyDescent="0.25"/>
    <row r="8296" hidden="1" x14ac:dyDescent="0.25"/>
    <row r="8297" hidden="1" x14ac:dyDescent="0.25"/>
    <row r="8298" hidden="1" x14ac:dyDescent="0.25"/>
    <row r="8299" hidden="1" x14ac:dyDescent="0.25"/>
    <row r="8300" hidden="1" x14ac:dyDescent="0.25"/>
    <row r="8301" hidden="1" x14ac:dyDescent="0.25"/>
    <row r="8302" hidden="1" x14ac:dyDescent="0.25"/>
    <row r="8303" hidden="1" x14ac:dyDescent="0.25"/>
    <row r="8304" hidden="1" x14ac:dyDescent="0.25"/>
    <row r="8305" hidden="1" x14ac:dyDescent="0.25"/>
    <row r="8306" hidden="1" x14ac:dyDescent="0.25"/>
    <row r="8307" hidden="1" x14ac:dyDescent="0.25"/>
    <row r="8308" hidden="1" x14ac:dyDescent="0.25"/>
    <row r="8309" hidden="1" x14ac:dyDescent="0.25"/>
    <row r="8310" hidden="1" x14ac:dyDescent="0.25"/>
    <row r="8311" hidden="1" x14ac:dyDescent="0.25"/>
    <row r="8312" hidden="1" x14ac:dyDescent="0.25"/>
    <row r="8313" hidden="1" x14ac:dyDescent="0.25"/>
    <row r="8314" hidden="1" x14ac:dyDescent="0.25"/>
    <row r="8315" hidden="1" x14ac:dyDescent="0.25"/>
    <row r="8316" hidden="1" x14ac:dyDescent="0.25"/>
    <row r="8317" hidden="1" x14ac:dyDescent="0.25"/>
    <row r="8318" hidden="1" x14ac:dyDescent="0.25"/>
    <row r="8319" hidden="1" x14ac:dyDescent="0.25"/>
    <row r="8320" hidden="1" x14ac:dyDescent="0.25"/>
    <row r="8321" hidden="1" x14ac:dyDescent="0.25"/>
    <row r="8322" hidden="1" x14ac:dyDescent="0.25"/>
    <row r="8323" hidden="1" x14ac:dyDescent="0.25"/>
    <row r="8324" hidden="1" x14ac:dyDescent="0.25"/>
    <row r="8325" hidden="1" x14ac:dyDescent="0.25"/>
    <row r="8326" hidden="1" x14ac:dyDescent="0.25"/>
    <row r="8327" hidden="1" x14ac:dyDescent="0.25"/>
    <row r="8328" hidden="1" x14ac:dyDescent="0.25"/>
    <row r="8329" hidden="1" x14ac:dyDescent="0.25"/>
    <row r="8330" hidden="1" x14ac:dyDescent="0.25"/>
    <row r="8331" hidden="1" x14ac:dyDescent="0.25"/>
    <row r="8332" hidden="1" x14ac:dyDescent="0.25"/>
    <row r="8333" hidden="1" x14ac:dyDescent="0.25"/>
    <row r="8334" hidden="1" x14ac:dyDescent="0.25"/>
    <row r="8335" hidden="1" x14ac:dyDescent="0.25"/>
    <row r="8336" hidden="1" x14ac:dyDescent="0.25"/>
    <row r="8337" hidden="1" x14ac:dyDescent="0.25"/>
    <row r="8338" hidden="1" x14ac:dyDescent="0.25"/>
    <row r="8339" hidden="1" x14ac:dyDescent="0.25"/>
    <row r="8340" hidden="1" x14ac:dyDescent="0.25"/>
    <row r="8341" hidden="1" x14ac:dyDescent="0.25"/>
    <row r="8342" hidden="1" x14ac:dyDescent="0.25"/>
    <row r="8343" hidden="1" x14ac:dyDescent="0.25"/>
    <row r="8344" hidden="1" x14ac:dyDescent="0.25"/>
    <row r="8345" hidden="1" x14ac:dyDescent="0.25"/>
    <row r="8346" hidden="1" x14ac:dyDescent="0.25"/>
    <row r="8347" hidden="1" x14ac:dyDescent="0.25"/>
    <row r="8348" hidden="1" x14ac:dyDescent="0.25"/>
    <row r="8349" hidden="1" x14ac:dyDescent="0.25"/>
    <row r="8350" hidden="1" x14ac:dyDescent="0.25"/>
    <row r="8351" hidden="1" x14ac:dyDescent="0.25"/>
    <row r="8352" hidden="1" x14ac:dyDescent="0.25"/>
    <row r="8353" hidden="1" x14ac:dyDescent="0.25"/>
    <row r="8354" hidden="1" x14ac:dyDescent="0.25"/>
    <row r="8355" hidden="1" x14ac:dyDescent="0.25"/>
    <row r="8356" hidden="1" x14ac:dyDescent="0.25"/>
    <row r="8357" hidden="1" x14ac:dyDescent="0.25"/>
    <row r="8358" hidden="1" x14ac:dyDescent="0.25"/>
    <row r="8359" hidden="1" x14ac:dyDescent="0.25"/>
    <row r="8360" hidden="1" x14ac:dyDescent="0.25"/>
    <row r="8361" hidden="1" x14ac:dyDescent="0.25"/>
    <row r="8362" hidden="1" x14ac:dyDescent="0.25"/>
    <row r="8363" hidden="1" x14ac:dyDescent="0.25"/>
    <row r="8364" hidden="1" x14ac:dyDescent="0.25"/>
    <row r="8365" hidden="1" x14ac:dyDescent="0.25"/>
    <row r="8366" hidden="1" x14ac:dyDescent="0.25"/>
    <row r="8367" hidden="1" x14ac:dyDescent="0.25"/>
    <row r="8368" hidden="1" x14ac:dyDescent="0.25"/>
    <row r="8369" hidden="1" x14ac:dyDescent="0.25"/>
    <row r="8370" hidden="1" x14ac:dyDescent="0.25"/>
    <row r="8371" hidden="1" x14ac:dyDescent="0.25"/>
    <row r="8372" hidden="1" x14ac:dyDescent="0.25"/>
    <row r="8373" hidden="1" x14ac:dyDescent="0.25"/>
    <row r="8374" hidden="1" x14ac:dyDescent="0.25"/>
    <row r="8375" hidden="1" x14ac:dyDescent="0.25"/>
    <row r="8376" hidden="1" x14ac:dyDescent="0.25"/>
    <row r="8377" hidden="1" x14ac:dyDescent="0.25"/>
    <row r="8378" hidden="1" x14ac:dyDescent="0.25"/>
    <row r="8379" hidden="1" x14ac:dyDescent="0.25"/>
    <row r="8380" hidden="1" x14ac:dyDescent="0.25"/>
    <row r="8381" hidden="1" x14ac:dyDescent="0.25"/>
    <row r="8382" hidden="1" x14ac:dyDescent="0.25"/>
    <row r="8383" hidden="1" x14ac:dyDescent="0.25"/>
    <row r="8384" hidden="1" x14ac:dyDescent="0.25"/>
    <row r="8385" hidden="1" x14ac:dyDescent="0.25"/>
    <row r="8386" hidden="1" x14ac:dyDescent="0.25"/>
    <row r="8387" hidden="1" x14ac:dyDescent="0.25"/>
    <row r="8388" hidden="1" x14ac:dyDescent="0.25"/>
    <row r="8389" hidden="1" x14ac:dyDescent="0.25"/>
    <row r="8390" hidden="1" x14ac:dyDescent="0.25"/>
    <row r="8391" hidden="1" x14ac:dyDescent="0.25"/>
    <row r="8392" hidden="1" x14ac:dyDescent="0.25"/>
    <row r="8393" hidden="1" x14ac:dyDescent="0.25"/>
    <row r="8394" hidden="1" x14ac:dyDescent="0.25"/>
    <row r="8395" hidden="1" x14ac:dyDescent="0.25"/>
    <row r="8396" hidden="1" x14ac:dyDescent="0.25"/>
    <row r="8397" hidden="1" x14ac:dyDescent="0.25"/>
    <row r="8398" hidden="1" x14ac:dyDescent="0.25"/>
    <row r="8399" hidden="1" x14ac:dyDescent="0.25"/>
    <row r="8400" hidden="1" x14ac:dyDescent="0.25"/>
    <row r="8401" hidden="1" x14ac:dyDescent="0.25"/>
    <row r="8402" hidden="1" x14ac:dyDescent="0.25"/>
    <row r="8403" hidden="1" x14ac:dyDescent="0.25"/>
    <row r="8404" hidden="1" x14ac:dyDescent="0.25"/>
    <row r="8405" hidden="1" x14ac:dyDescent="0.25"/>
    <row r="8406" hidden="1" x14ac:dyDescent="0.25"/>
    <row r="8407" hidden="1" x14ac:dyDescent="0.25"/>
    <row r="8408" hidden="1" x14ac:dyDescent="0.25"/>
    <row r="8409" hidden="1" x14ac:dyDescent="0.25"/>
    <row r="8410" hidden="1" x14ac:dyDescent="0.25"/>
    <row r="8411" hidden="1" x14ac:dyDescent="0.25"/>
    <row r="8412" hidden="1" x14ac:dyDescent="0.25"/>
    <row r="8413" hidden="1" x14ac:dyDescent="0.25"/>
    <row r="8414" hidden="1" x14ac:dyDescent="0.25"/>
    <row r="8415" hidden="1" x14ac:dyDescent="0.25"/>
    <row r="8416" hidden="1" x14ac:dyDescent="0.25"/>
    <row r="8417" hidden="1" x14ac:dyDescent="0.25"/>
    <row r="8418" hidden="1" x14ac:dyDescent="0.25"/>
    <row r="8419" hidden="1" x14ac:dyDescent="0.25"/>
    <row r="8420" hidden="1" x14ac:dyDescent="0.25"/>
    <row r="8421" hidden="1" x14ac:dyDescent="0.25"/>
    <row r="8422" hidden="1" x14ac:dyDescent="0.25"/>
    <row r="8423" hidden="1" x14ac:dyDescent="0.25"/>
    <row r="8424" hidden="1" x14ac:dyDescent="0.25"/>
    <row r="8425" hidden="1" x14ac:dyDescent="0.25"/>
    <row r="8426" hidden="1" x14ac:dyDescent="0.25"/>
    <row r="8427" hidden="1" x14ac:dyDescent="0.25"/>
    <row r="8428" hidden="1" x14ac:dyDescent="0.25"/>
    <row r="8429" hidden="1" x14ac:dyDescent="0.25"/>
    <row r="8430" hidden="1" x14ac:dyDescent="0.25"/>
    <row r="8431" hidden="1" x14ac:dyDescent="0.25"/>
    <row r="8432" hidden="1" x14ac:dyDescent="0.25"/>
    <row r="8433" hidden="1" x14ac:dyDescent="0.25"/>
    <row r="8434" hidden="1" x14ac:dyDescent="0.25"/>
    <row r="8435" hidden="1" x14ac:dyDescent="0.25"/>
    <row r="8436" hidden="1" x14ac:dyDescent="0.25"/>
    <row r="8437" hidden="1" x14ac:dyDescent="0.25"/>
    <row r="8438" hidden="1" x14ac:dyDescent="0.25"/>
    <row r="8439" hidden="1" x14ac:dyDescent="0.25"/>
    <row r="8440" hidden="1" x14ac:dyDescent="0.25"/>
    <row r="8441" hidden="1" x14ac:dyDescent="0.25"/>
    <row r="8442" hidden="1" x14ac:dyDescent="0.25"/>
    <row r="8443" hidden="1" x14ac:dyDescent="0.25"/>
    <row r="8444" hidden="1" x14ac:dyDescent="0.25"/>
    <row r="8445" hidden="1" x14ac:dyDescent="0.25"/>
    <row r="8446" hidden="1" x14ac:dyDescent="0.25"/>
    <row r="8447" hidden="1" x14ac:dyDescent="0.25"/>
    <row r="8448" hidden="1" x14ac:dyDescent="0.25"/>
    <row r="8449" hidden="1" x14ac:dyDescent="0.25"/>
    <row r="8450" hidden="1" x14ac:dyDescent="0.25"/>
    <row r="8451" hidden="1" x14ac:dyDescent="0.25"/>
    <row r="8452" hidden="1" x14ac:dyDescent="0.25"/>
    <row r="8453" hidden="1" x14ac:dyDescent="0.25"/>
    <row r="8454" hidden="1" x14ac:dyDescent="0.25"/>
    <row r="8455" hidden="1" x14ac:dyDescent="0.25"/>
    <row r="8456" hidden="1" x14ac:dyDescent="0.25"/>
    <row r="8457" hidden="1" x14ac:dyDescent="0.25"/>
    <row r="8458" hidden="1" x14ac:dyDescent="0.25"/>
    <row r="8459" hidden="1" x14ac:dyDescent="0.25"/>
    <row r="8460" hidden="1" x14ac:dyDescent="0.25"/>
    <row r="8461" hidden="1" x14ac:dyDescent="0.25"/>
    <row r="8462" hidden="1" x14ac:dyDescent="0.25"/>
    <row r="8463" hidden="1" x14ac:dyDescent="0.25"/>
    <row r="8464" hidden="1" x14ac:dyDescent="0.25"/>
    <row r="8465" hidden="1" x14ac:dyDescent="0.25"/>
    <row r="8466" hidden="1" x14ac:dyDescent="0.25"/>
    <row r="8467" hidden="1" x14ac:dyDescent="0.25"/>
    <row r="8468" hidden="1" x14ac:dyDescent="0.25"/>
    <row r="8469" hidden="1" x14ac:dyDescent="0.25"/>
    <row r="8470" hidden="1" x14ac:dyDescent="0.25"/>
    <row r="8471" hidden="1" x14ac:dyDescent="0.25"/>
    <row r="8472" hidden="1" x14ac:dyDescent="0.25"/>
    <row r="8473" hidden="1" x14ac:dyDescent="0.25"/>
    <row r="8474" hidden="1" x14ac:dyDescent="0.25"/>
    <row r="8475" hidden="1" x14ac:dyDescent="0.25"/>
    <row r="8476" hidden="1" x14ac:dyDescent="0.25"/>
    <row r="8477" hidden="1" x14ac:dyDescent="0.25"/>
    <row r="8478" hidden="1" x14ac:dyDescent="0.25"/>
    <row r="8479" hidden="1" x14ac:dyDescent="0.25"/>
    <row r="8480" hidden="1" x14ac:dyDescent="0.25"/>
    <row r="8481" hidden="1" x14ac:dyDescent="0.25"/>
    <row r="8482" hidden="1" x14ac:dyDescent="0.25"/>
    <row r="8483" hidden="1" x14ac:dyDescent="0.25"/>
    <row r="8484" hidden="1" x14ac:dyDescent="0.25"/>
    <row r="8485" hidden="1" x14ac:dyDescent="0.25"/>
    <row r="8486" hidden="1" x14ac:dyDescent="0.25"/>
    <row r="8487" hidden="1" x14ac:dyDescent="0.25"/>
    <row r="8488" hidden="1" x14ac:dyDescent="0.25"/>
    <row r="8489" hidden="1" x14ac:dyDescent="0.25"/>
    <row r="8490" hidden="1" x14ac:dyDescent="0.25"/>
    <row r="8491" hidden="1" x14ac:dyDescent="0.25"/>
    <row r="8492" hidden="1" x14ac:dyDescent="0.25"/>
    <row r="8493" hidden="1" x14ac:dyDescent="0.25"/>
    <row r="8494" hidden="1" x14ac:dyDescent="0.25"/>
    <row r="8495" hidden="1" x14ac:dyDescent="0.25"/>
    <row r="8496" hidden="1" x14ac:dyDescent="0.25"/>
    <row r="8497" hidden="1" x14ac:dyDescent="0.25"/>
    <row r="8498" hidden="1" x14ac:dyDescent="0.25"/>
    <row r="8499" hidden="1" x14ac:dyDescent="0.25"/>
    <row r="8500" hidden="1" x14ac:dyDescent="0.25"/>
    <row r="8501" hidden="1" x14ac:dyDescent="0.25"/>
    <row r="8502" hidden="1" x14ac:dyDescent="0.25"/>
    <row r="8503" hidden="1" x14ac:dyDescent="0.25"/>
    <row r="8504" hidden="1" x14ac:dyDescent="0.25"/>
    <row r="8505" hidden="1" x14ac:dyDescent="0.25"/>
    <row r="8506" hidden="1" x14ac:dyDescent="0.25"/>
    <row r="8507" hidden="1" x14ac:dyDescent="0.25"/>
    <row r="8508" hidden="1" x14ac:dyDescent="0.25"/>
    <row r="8509" hidden="1" x14ac:dyDescent="0.25"/>
    <row r="8510" hidden="1" x14ac:dyDescent="0.25"/>
    <row r="8511" hidden="1" x14ac:dyDescent="0.25"/>
    <row r="8512" hidden="1" x14ac:dyDescent="0.25"/>
    <row r="8513" hidden="1" x14ac:dyDescent="0.25"/>
    <row r="8514" hidden="1" x14ac:dyDescent="0.25"/>
    <row r="8515" hidden="1" x14ac:dyDescent="0.25"/>
    <row r="8516" hidden="1" x14ac:dyDescent="0.25"/>
    <row r="8517" hidden="1" x14ac:dyDescent="0.25"/>
    <row r="8518" hidden="1" x14ac:dyDescent="0.25"/>
    <row r="8519" hidden="1" x14ac:dyDescent="0.25"/>
    <row r="8520" hidden="1" x14ac:dyDescent="0.25"/>
    <row r="8521" hidden="1" x14ac:dyDescent="0.25"/>
    <row r="8522" hidden="1" x14ac:dyDescent="0.25"/>
    <row r="8523" hidden="1" x14ac:dyDescent="0.25"/>
    <row r="8524" hidden="1" x14ac:dyDescent="0.25"/>
    <row r="8525" hidden="1" x14ac:dyDescent="0.25"/>
    <row r="8526" hidden="1" x14ac:dyDescent="0.25"/>
    <row r="8527" hidden="1" x14ac:dyDescent="0.25"/>
    <row r="8528" hidden="1" x14ac:dyDescent="0.25"/>
    <row r="8529" hidden="1" x14ac:dyDescent="0.25"/>
    <row r="8530" hidden="1" x14ac:dyDescent="0.25"/>
    <row r="8531" hidden="1" x14ac:dyDescent="0.25"/>
    <row r="8532" hidden="1" x14ac:dyDescent="0.25"/>
    <row r="8533" hidden="1" x14ac:dyDescent="0.25"/>
    <row r="8534" hidden="1" x14ac:dyDescent="0.25"/>
    <row r="8535" hidden="1" x14ac:dyDescent="0.25"/>
    <row r="8536" hidden="1" x14ac:dyDescent="0.25"/>
    <row r="8537" hidden="1" x14ac:dyDescent="0.25"/>
    <row r="8538" hidden="1" x14ac:dyDescent="0.25"/>
    <row r="8539" hidden="1" x14ac:dyDescent="0.25"/>
    <row r="8540" hidden="1" x14ac:dyDescent="0.25"/>
    <row r="8541" hidden="1" x14ac:dyDescent="0.25"/>
    <row r="8542" hidden="1" x14ac:dyDescent="0.25"/>
    <row r="8543" hidden="1" x14ac:dyDescent="0.25"/>
    <row r="8544" hidden="1" x14ac:dyDescent="0.25"/>
    <row r="8545" hidden="1" x14ac:dyDescent="0.25"/>
    <row r="8546" hidden="1" x14ac:dyDescent="0.25"/>
    <row r="8547" hidden="1" x14ac:dyDescent="0.25"/>
    <row r="8548" hidden="1" x14ac:dyDescent="0.25"/>
    <row r="8549" hidden="1" x14ac:dyDescent="0.25"/>
    <row r="8550" hidden="1" x14ac:dyDescent="0.25"/>
    <row r="8551" hidden="1" x14ac:dyDescent="0.25"/>
    <row r="8552" hidden="1" x14ac:dyDescent="0.25"/>
    <row r="8553" hidden="1" x14ac:dyDescent="0.25"/>
    <row r="8554" hidden="1" x14ac:dyDescent="0.25"/>
    <row r="8555" hidden="1" x14ac:dyDescent="0.25"/>
    <row r="8556" hidden="1" x14ac:dyDescent="0.25"/>
    <row r="8557" hidden="1" x14ac:dyDescent="0.25"/>
    <row r="8558" hidden="1" x14ac:dyDescent="0.25"/>
    <row r="8559" hidden="1" x14ac:dyDescent="0.25"/>
    <row r="8560" hidden="1" x14ac:dyDescent="0.25"/>
    <row r="8561" hidden="1" x14ac:dyDescent="0.25"/>
    <row r="8562" hidden="1" x14ac:dyDescent="0.25"/>
    <row r="8563" hidden="1" x14ac:dyDescent="0.25"/>
    <row r="8564" hidden="1" x14ac:dyDescent="0.25"/>
    <row r="8565" hidden="1" x14ac:dyDescent="0.25"/>
    <row r="8566" hidden="1" x14ac:dyDescent="0.25"/>
    <row r="8567" hidden="1" x14ac:dyDescent="0.25"/>
    <row r="8568" hidden="1" x14ac:dyDescent="0.25"/>
    <row r="8569" hidden="1" x14ac:dyDescent="0.25"/>
    <row r="8570" hidden="1" x14ac:dyDescent="0.25"/>
    <row r="8571" hidden="1" x14ac:dyDescent="0.25"/>
    <row r="8572" hidden="1" x14ac:dyDescent="0.25"/>
    <row r="8573" hidden="1" x14ac:dyDescent="0.25"/>
    <row r="8574" hidden="1" x14ac:dyDescent="0.25"/>
    <row r="8575" hidden="1" x14ac:dyDescent="0.25"/>
    <row r="8576" hidden="1" x14ac:dyDescent="0.25"/>
    <row r="8577" hidden="1" x14ac:dyDescent="0.25"/>
    <row r="8578" hidden="1" x14ac:dyDescent="0.25"/>
    <row r="8579" hidden="1" x14ac:dyDescent="0.25"/>
    <row r="8580" hidden="1" x14ac:dyDescent="0.25"/>
    <row r="8581" hidden="1" x14ac:dyDescent="0.25"/>
    <row r="8582" hidden="1" x14ac:dyDescent="0.25"/>
    <row r="8583" hidden="1" x14ac:dyDescent="0.25"/>
    <row r="8584" hidden="1" x14ac:dyDescent="0.25"/>
    <row r="8585" hidden="1" x14ac:dyDescent="0.25"/>
    <row r="8586" hidden="1" x14ac:dyDescent="0.25"/>
    <row r="8587" hidden="1" x14ac:dyDescent="0.25"/>
    <row r="8588" hidden="1" x14ac:dyDescent="0.25"/>
    <row r="8589" hidden="1" x14ac:dyDescent="0.25"/>
    <row r="8590" hidden="1" x14ac:dyDescent="0.25"/>
    <row r="8591" hidden="1" x14ac:dyDescent="0.25"/>
    <row r="8592" hidden="1" x14ac:dyDescent="0.25"/>
    <row r="8593" hidden="1" x14ac:dyDescent="0.25"/>
    <row r="8594" hidden="1" x14ac:dyDescent="0.25"/>
    <row r="8595" hidden="1" x14ac:dyDescent="0.25"/>
    <row r="8596" hidden="1" x14ac:dyDescent="0.25"/>
    <row r="8597" hidden="1" x14ac:dyDescent="0.25"/>
    <row r="8598" hidden="1" x14ac:dyDescent="0.25"/>
    <row r="8599" hidden="1" x14ac:dyDescent="0.25"/>
    <row r="8600" hidden="1" x14ac:dyDescent="0.25"/>
    <row r="8601" hidden="1" x14ac:dyDescent="0.25"/>
    <row r="8602" hidden="1" x14ac:dyDescent="0.25"/>
    <row r="8603" hidden="1" x14ac:dyDescent="0.25"/>
    <row r="8604" hidden="1" x14ac:dyDescent="0.25"/>
    <row r="8605" hidden="1" x14ac:dyDescent="0.25"/>
    <row r="8606" hidden="1" x14ac:dyDescent="0.25"/>
    <row r="8607" hidden="1" x14ac:dyDescent="0.25"/>
    <row r="8608" hidden="1" x14ac:dyDescent="0.25"/>
    <row r="8609" hidden="1" x14ac:dyDescent="0.25"/>
    <row r="8610" hidden="1" x14ac:dyDescent="0.25"/>
    <row r="8611" hidden="1" x14ac:dyDescent="0.25"/>
    <row r="8612" hidden="1" x14ac:dyDescent="0.25"/>
    <row r="8613" hidden="1" x14ac:dyDescent="0.25"/>
    <row r="8614" hidden="1" x14ac:dyDescent="0.25"/>
    <row r="8615" hidden="1" x14ac:dyDescent="0.25"/>
    <row r="8616" hidden="1" x14ac:dyDescent="0.25"/>
    <row r="8617" hidden="1" x14ac:dyDescent="0.25"/>
    <row r="8618" hidden="1" x14ac:dyDescent="0.25"/>
    <row r="8619" hidden="1" x14ac:dyDescent="0.25"/>
    <row r="8620" hidden="1" x14ac:dyDescent="0.25"/>
    <row r="8621" hidden="1" x14ac:dyDescent="0.25"/>
    <row r="8622" hidden="1" x14ac:dyDescent="0.25"/>
    <row r="8623" hidden="1" x14ac:dyDescent="0.25"/>
    <row r="8624" hidden="1" x14ac:dyDescent="0.25"/>
    <row r="8625" hidden="1" x14ac:dyDescent="0.25"/>
    <row r="8626" hidden="1" x14ac:dyDescent="0.25"/>
    <row r="8627" hidden="1" x14ac:dyDescent="0.25"/>
    <row r="8628" hidden="1" x14ac:dyDescent="0.25"/>
    <row r="8629" hidden="1" x14ac:dyDescent="0.25"/>
    <row r="8630" hidden="1" x14ac:dyDescent="0.25"/>
    <row r="8631" hidden="1" x14ac:dyDescent="0.25"/>
    <row r="8632" hidden="1" x14ac:dyDescent="0.25"/>
    <row r="8633" hidden="1" x14ac:dyDescent="0.25"/>
    <row r="8634" hidden="1" x14ac:dyDescent="0.25"/>
    <row r="8635" hidden="1" x14ac:dyDescent="0.25"/>
    <row r="8636" hidden="1" x14ac:dyDescent="0.25"/>
    <row r="8637" hidden="1" x14ac:dyDescent="0.25"/>
    <row r="8638" hidden="1" x14ac:dyDescent="0.25"/>
    <row r="8639" hidden="1" x14ac:dyDescent="0.25"/>
    <row r="8640" hidden="1" x14ac:dyDescent="0.25"/>
    <row r="8641" hidden="1" x14ac:dyDescent="0.25"/>
    <row r="8642" hidden="1" x14ac:dyDescent="0.25"/>
    <row r="8643" hidden="1" x14ac:dyDescent="0.25"/>
    <row r="8644" hidden="1" x14ac:dyDescent="0.25"/>
    <row r="8645" hidden="1" x14ac:dyDescent="0.25"/>
    <row r="8646" hidden="1" x14ac:dyDescent="0.25"/>
    <row r="8647" hidden="1" x14ac:dyDescent="0.25"/>
    <row r="8648" hidden="1" x14ac:dyDescent="0.25"/>
    <row r="8649" hidden="1" x14ac:dyDescent="0.25"/>
    <row r="8650" hidden="1" x14ac:dyDescent="0.25"/>
    <row r="8651" hidden="1" x14ac:dyDescent="0.25"/>
    <row r="8652" hidden="1" x14ac:dyDescent="0.25"/>
    <row r="8653" hidden="1" x14ac:dyDescent="0.25"/>
    <row r="8654" hidden="1" x14ac:dyDescent="0.25"/>
    <row r="8655" hidden="1" x14ac:dyDescent="0.25"/>
    <row r="8656" hidden="1" x14ac:dyDescent="0.25"/>
    <row r="8657" hidden="1" x14ac:dyDescent="0.25"/>
    <row r="8658" hidden="1" x14ac:dyDescent="0.25"/>
    <row r="8659" hidden="1" x14ac:dyDescent="0.25"/>
    <row r="8660" hidden="1" x14ac:dyDescent="0.25"/>
    <row r="8661" hidden="1" x14ac:dyDescent="0.25"/>
    <row r="8662" hidden="1" x14ac:dyDescent="0.25"/>
    <row r="8663" hidden="1" x14ac:dyDescent="0.25"/>
    <row r="8664" hidden="1" x14ac:dyDescent="0.25"/>
    <row r="8665" hidden="1" x14ac:dyDescent="0.25"/>
    <row r="8666" hidden="1" x14ac:dyDescent="0.25"/>
    <row r="8667" hidden="1" x14ac:dyDescent="0.25"/>
    <row r="8668" hidden="1" x14ac:dyDescent="0.25"/>
    <row r="8669" hidden="1" x14ac:dyDescent="0.25"/>
    <row r="8670" hidden="1" x14ac:dyDescent="0.25"/>
    <row r="8671" hidden="1" x14ac:dyDescent="0.25"/>
    <row r="8672" hidden="1" x14ac:dyDescent="0.25"/>
    <row r="8673" hidden="1" x14ac:dyDescent="0.25"/>
    <row r="8674" hidden="1" x14ac:dyDescent="0.25"/>
    <row r="8675" hidden="1" x14ac:dyDescent="0.25"/>
    <row r="8676" hidden="1" x14ac:dyDescent="0.25"/>
    <row r="8677" hidden="1" x14ac:dyDescent="0.25"/>
    <row r="8678" hidden="1" x14ac:dyDescent="0.25"/>
    <row r="8679" hidden="1" x14ac:dyDescent="0.25"/>
    <row r="8680" hidden="1" x14ac:dyDescent="0.25"/>
    <row r="8681" hidden="1" x14ac:dyDescent="0.25"/>
    <row r="8682" hidden="1" x14ac:dyDescent="0.25"/>
    <row r="8683" hidden="1" x14ac:dyDescent="0.25"/>
    <row r="8684" hidden="1" x14ac:dyDescent="0.25"/>
    <row r="8685" hidden="1" x14ac:dyDescent="0.25"/>
    <row r="8686" hidden="1" x14ac:dyDescent="0.25"/>
    <row r="8687" hidden="1" x14ac:dyDescent="0.25"/>
    <row r="8688" hidden="1" x14ac:dyDescent="0.25"/>
    <row r="8689" hidden="1" x14ac:dyDescent="0.25"/>
    <row r="8690" hidden="1" x14ac:dyDescent="0.25"/>
    <row r="8691" hidden="1" x14ac:dyDescent="0.25"/>
    <row r="8692" hidden="1" x14ac:dyDescent="0.25"/>
    <row r="8693" hidden="1" x14ac:dyDescent="0.25"/>
    <row r="8694" hidden="1" x14ac:dyDescent="0.25"/>
    <row r="8695" hidden="1" x14ac:dyDescent="0.25"/>
    <row r="8696" hidden="1" x14ac:dyDescent="0.25"/>
    <row r="8697" hidden="1" x14ac:dyDescent="0.25"/>
    <row r="8698" hidden="1" x14ac:dyDescent="0.25"/>
    <row r="8699" hidden="1" x14ac:dyDescent="0.25"/>
    <row r="8700" hidden="1" x14ac:dyDescent="0.25"/>
    <row r="8701" hidden="1" x14ac:dyDescent="0.25"/>
    <row r="8702" hidden="1" x14ac:dyDescent="0.25"/>
    <row r="8703" hidden="1" x14ac:dyDescent="0.25"/>
    <row r="8704" hidden="1" x14ac:dyDescent="0.25"/>
    <row r="8705" hidden="1" x14ac:dyDescent="0.25"/>
    <row r="8706" hidden="1" x14ac:dyDescent="0.25"/>
    <row r="8707" hidden="1" x14ac:dyDescent="0.25"/>
    <row r="8708" hidden="1" x14ac:dyDescent="0.25"/>
    <row r="8709" hidden="1" x14ac:dyDescent="0.25"/>
    <row r="8710" hidden="1" x14ac:dyDescent="0.25"/>
    <row r="8711" hidden="1" x14ac:dyDescent="0.25"/>
    <row r="8712" hidden="1" x14ac:dyDescent="0.25"/>
    <row r="8713" hidden="1" x14ac:dyDescent="0.25"/>
    <row r="8714" hidden="1" x14ac:dyDescent="0.25"/>
    <row r="8715" hidden="1" x14ac:dyDescent="0.25"/>
    <row r="8716" hidden="1" x14ac:dyDescent="0.25"/>
    <row r="8717" hidden="1" x14ac:dyDescent="0.25"/>
    <row r="8718" hidden="1" x14ac:dyDescent="0.25"/>
    <row r="8719" hidden="1" x14ac:dyDescent="0.25"/>
    <row r="8720" hidden="1" x14ac:dyDescent="0.25"/>
    <row r="8721" hidden="1" x14ac:dyDescent="0.25"/>
    <row r="8722" hidden="1" x14ac:dyDescent="0.25"/>
    <row r="8723" hidden="1" x14ac:dyDescent="0.25"/>
    <row r="8724" hidden="1" x14ac:dyDescent="0.25"/>
    <row r="8725" hidden="1" x14ac:dyDescent="0.25"/>
    <row r="8726" hidden="1" x14ac:dyDescent="0.25"/>
    <row r="8727" hidden="1" x14ac:dyDescent="0.25"/>
    <row r="8728" hidden="1" x14ac:dyDescent="0.25"/>
    <row r="8729" hidden="1" x14ac:dyDescent="0.25"/>
    <row r="8730" hidden="1" x14ac:dyDescent="0.25"/>
    <row r="8731" hidden="1" x14ac:dyDescent="0.25"/>
    <row r="8732" hidden="1" x14ac:dyDescent="0.25"/>
    <row r="8733" hidden="1" x14ac:dyDescent="0.25"/>
    <row r="8734" hidden="1" x14ac:dyDescent="0.25"/>
    <row r="8735" hidden="1" x14ac:dyDescent="0.25"/>
    <row r="8736" hidden="1" x14ac:dyDescent="0.25"/>
    <row r="8737" hidden="1" x14ac:dyDescent="0.25"/>
    <row r="8738" hidden="1" x14ac:dyDescent="0.25"/>
    <row r="8739" hidden="1" x14ac:dyDescent="0.25"/>
    <row r="8740" hidden="1" x14ac:dyDescent="0.25"/>
    <row r="8741" hidden="1" x14ac:dyDescent="0.25"/>
    <row r="8742" hidden="1" x14ac:dyDescent="0.25"/>
    <row r="8743" hidden="1" x14ac:dyDescent="0.25"/>
    <row r="8744" hidden="1" x14ac:dyDescent="0.25"/>
    <row r="8745" hidden="1" x14ac:dyDescent="0.25"/>
    <row r="8746" hidden="1" x14ac:dyDescent="0.25"/>
    <row r="8747" hidden="1" x14ac:dyDescent="0.25"/>
    <row r="8748" hidden="1" x14ac:dyDescent="0.25"/>
    <row r="8749" hidden="1" x14ac:dyDescent="0.25"/>
    <row r="8750" hidden="1" x14ac:dyDescent="0.25"/>
    <row r="8751" hidden="1" x14ac:dyDescent="0.25"/>
    <row r="8752" hidden="1" x14ac:dyDescent="0.25"/>
    <row r="8753" hidden="1" x14ac:dyDescent="0.25"/>
    <row r="8754" hidden="1" x14ac:dyDescent="0.25"/>
    <row r="8755" hidden="1" x14ac:dyDescent="0.25"/>
    <row r="8756" hidden="1" x14ac:dyDescent="0.25"/>
    <row r="8757" hidden="1" x14ac:dyDescent="0.25"/>
    <row r="8758" hidden="1" x14ac:dyDescent="0.25"/>
    <row r="8759" hidden="1" x14ac:dyDescent="0.25"/>
    <row r="8760" hidden="1" x14ac:dyDescent="0.25"/>
    <row r="8761" hidden="1" x14ac:dyDescent="0.25"/>
    <row r="8762" hidden="1" x14ac:dyDescent="0.25"/>
    <row r="8763" hidden="1" x14ac:dyDescent="0.25"/>
    <row r="8764" hidden="1" x14ac:dyDescent="0.25"/>
    <row r="8765" hidden="1" x14ac:dyDescent="0.25"/>
    <row r="8766" hidden="1" x14ac:dyDescent="0.25"/>
    <row r="8767" hidden="1" x14ac:dyDescent="0.25"/>
    <row r="8768" hidden="1" x14ac:dyDescent="0.25"/>
    <row r="8769" hidden="1" x14ac:dyDescent="0.25"/>
    <row r="8770" hidden="1" x14ac:dyDescent="0.25"/>
    <row r="8771" hidden="1" x14ac:dyDescent="0.25"/>
    <row r="8772" hidden="1" x14ac:dyDescent="0.25"/>
    <row r="8773" hidden="1" x14ac:dyDescent="0.25"/>
    <row r="8774" hidden="1" x14ac:dyDescent="0.25"/>
    <row r="8775" hidden="1" x14ac:dyDescent="0.25"/>
    <row r="8776" hidden="1" x14ac:dyDescent="0.25"/>
    <row r="8777" hidden="1" x14ac:dyDescent="0.25"/>
    <row r="8778" hidden="1" x14ac:dyDescent="0.25"/>
    <row r="8779" hidden="1" x14ac:dyDescent="0.25"/>
    <row r="8780" hidden="1" x14ac:dyDescent="0.25"/>
    <row r="8781" hidden="1" x14ac:dyDescent="0.25"/>
    <row r="8782" hidden="1" x14ac:dyDescent="0.25"/>
    <row r="8783" hidden="1" x14ac:dyDescent="0.25"/>
    <row r="8784" hidden="1" x14ac:dyDescent="0.25"/>
    <row r="8785" hidden="1" x14ac:dyDescent="0.25"/>
    <row r="8786" hidden="1" x14ac:dyDescent="0.25"/>
    <row r="8787" hidden="1" x14ac:dyDescent="0.25"/>
    <row r="8788" hidden="1" x14ac:dyDescent="0.25"/>
    <row r="8789" hidden="1" x14ac:dyDescent="0.25"/>
    <row r="8790" hidden="1" x14ac:dyDescent="0.25"/>
    <row r="8791" hidden="1" x14ac:dyDescent="0.25"/>
    <row r="8792" hidden="1" x14ac:dyDescent="0.25"/>
    <row r="8793" hidden="1" x14ac:dyDescent="0.25"/>
    <row r="8794" hidden="1" x14ac:dyDescent="0.25"/>
    <row r="8795" hidden="1" x14ac:dyDescent="0.25"/>
    <row r="8796" hidden="1" x14ac:dyDescent="0.25"/>
    <row r="8797" hidden="1" x14ac:dyDescent="0.25"/>
    <row r="8798" hidden="1" x14ac:dyDescent="0.25"/>
    <row r="8799" hidden="1" x14ac:dyDescent="0.25"/>
    <row r="8800" hidden="1" x14ac:dyDescent="0.25"/>
    <row r="8801" hidden="1" x14ac:dyDescent="0.25"/>
    <row r="8802" hidden="1" x14ac:dyDescent="0.25"/>
    <row r="8803" hidden="1" x14ac:dyDescent="0.25"/>
    <row r="8804" hidden="1" x14ac:dyDescent="0.25"/>
    <row r="8805" hidden="1" x14ac:dyDescent="0.25"/>
    <row r="8806" hidden="1" x14ac:dyDescent="0.25"/>
    <row r="8807" hidden="1" x14ac:dyDescent="0.25"/>
    <row r="8808" hidden="1" x14ac:dyDescent="0.25"/>
    <row r="8809" hidden="1" x14ac:dyDescent="0.25"/>
    <row r="8810" hidden="1" x14ac:dyDescent="0.25"/>
    <row r="8811" hidden="1" x14ac:dyDescent="0.25"/>
    <row r="8812" hidden="1" x14ac:dyDescent="0.25"/>
    <row r="8813" hidden="1" x14ac:dyDescent="0.25"/>
    <row r="8814" hidden="1" x14ac:dyDescent="0.25"/>
    <row r="8815" hidden="1" x14ac:dyDescent="0.25"/>
    <row r="8816" hidden="1" x14ac:dyDescent="0.25"/>
    <row r="8817" hidden="1" x14ac:dyDescent="0.25"/>
    <row r="8818" hidden="1" x14ac:dyDescent="0.25"/>
    <row r="8819" hidden="1" x14ac:dyDescent="0.25"/>
    <row r="8820" hidden="1" x14ac:dyDescent="0.25"/>
    <row r="8821" hidden="1" x14ac:dyDescent="0.25"/>
    <row r="8822" hidden="1" x14ac:dyDescent="0.25"/>
    <row r="8823" hidden="1" x14ac:dyDescent="0.25"/>
    <row r="8824" hidden="1" x14ac:dyDescent="0.25"/>
    <row r="8825" hidden="1" x14ac:dyDescent="0.25"/>
    <row r="8826" hidden="1" x14ac:dyDescent="0.25"/>
    <row r="8827" hidden="1" x14ac:dyDescent="0.25"/>
    <row r="8828" hidden="1" x14ac:dyDescent="0.25"/>
    <row r="8829" hidden="1" x14ac:dyDescent="0.25"/>
    <row r="8830" hidden="1" x14ac:dyDescent="0.25"/>
    <row r="8831" hidden="1" x14ac:dyDescent="0.25"/>
    <row r="8832" hidden="1" x14ac:dyDescent="0.25"/>
    <row r="8833" hidden="1" x14ac:dyDescent="0.25"/>
    <row r="8834" hidden="1" x14ac:dyDescent="0.25"/>
    <row r="8835" hidden="1" x14ac:dyDescent="0.25"/>
    <row r="8836" hidden="1" x14ac:dyDescent="0.25"/>
    <row r="8837" hidden="1" x14ac:dyDescent="0.25"/>
    <row r="8838" hidden="1" x14ac:dyDescent="0.25"/>
    <row r="8839" hidden="1" x14ac:dyDescent="0.25"/>
    <row r="8840" hidden="1" x14ac:dyDescent="0.25"/>
    <row r="8841" hidden="1" x14ac:dyDescent="0.25"/>
    <row r="8842" hidden="1" x14ac:dyDescent="0.25"/>
    <row r="8843" hidden="1" x14ac:dyDescent="0.25"/>
    <row r="8844" hidden="1" x14ac:dyDescent="0.25"/>
    <row r="8845" hidden="1" x14ac:dyDescent="0.25"/>
    <row r="8846" hidden="1" x14ac:dyDescent="0.25"/>
    <row r="8847" hidden="1" x14ac:dyDescent="0.25"/>
    <row r="8848" hidden="1" x14ac:dyDescent="0.25"/>
    <row r="8849" hidden="1" x14ac:dyDescent="0.25"/>
    <row r="8850" hidden="1" x14ac:dyDescent="0.25"/>
    <row r="8851" hidden="1" x14ac:dyDescent="0.25"/>
    <row r="8852" hidden="1" x14ac:dyDescent="0.25"/>
    <row r="8853" hidden="1" x14ac:dyDescent="0.25"/>
    <row r="8854" hidden="1" x14ac:dyDescent="0.25"/>
    <row r="8855" hidden="1" x14ac:dyDescent="0.25"/>
    <row r="8856" hidden="1" x14ac:dyDescent="0.25"/>
    <row r="8857" hidden="1" x14ac:dyDescent="0.25"/>
    <row r="8858" hidden="1" x14ac:dyDescent="0.25"/>
    <row r="8859" hidden="1" x14ac:dyDescent="0.25"/>
    <row r="8860" hidden="1" x14ac:dyDescent="0.25"/>
    <row r="8861" hidden="1" x14ac:dyDescent="0.25"/>
    <row r="8862" hidden="1" x14ac:dyDescent="0.25"/>
    <row r="8863" hidden="1" x14ac:dyDescent="0.25"/>
    <row r="8864" hidden="1" x14ac:dyDescent="0.25"/>
    <row r="8865" hidden="1" x14ac:dyDescent="0.25"/>
    <row r="8866" hidden="1" x14ac:dyDescent="0.25"/>
    <row r="8867" hidden="1" x14ac:dyDescent="0.25"/>
    <row r="8868" hidden="1" x14ac:dyDescent="0.25"/>
    <row r="8869" hidden="1" x14ac:dyDescent="0.25"/>
    <row r="8870" hidden="1" x14ac:dyDescent="0.25"/>
    <row r="8871" hidden="1" x14ac:dyDescent="0.25"/>
    <row r="8872" hidden="1" x14ac:dyDescent="0.25"/>
    <row r="8873" hidden="1" x14ac:dyDescent="0.25"/>
    <row r="8874" hidden="1" x14ac:dyDescent="0.25"/>
    <row r="8875" hidden="1" x14ac:dyDescent="0.25"/>
    <row r="8876" hidden="1" x14ac:dyDescent="0.25"/>
    <row r="8877" hidden="1" x14ac:dyDescent="0.25"/>
    <row r="8878" hidden="1" x14ac:dyDescent="0.25"/>
    <row r="8879" hidden="1" x14ac:dyDescent="0.25"/>
    <row r="8880" hidden="1" x14ac:dyDescent="0.25"/>
    <row r="8881" hidden="1" x14ac:dyDescent="0.25"/>
    <row r="8882" hidden="1" x14ac:dyDescent="0.25"/>
    <row r="8883" hidden="1" x14ac:dyDescent="0.25"/>
    <row r="8884" hidden="1" x14ac:dyDescent="0.25"/>
    <row r="8885" hidden="1" x14ac:dyDescent="0.25"/>
    <row r="8886" hidden="1" x14ac:dyDescent="0.25"/>
    <row r="8887" hidden="1" x14ac:dyDescent="0.25"/>
    <row r="8888" hidden="1" x14ac:dyDescent="0.25"/>
    <row r="8889" hidden="1" x14ac:dyDescent="0.25"/>
    <row r="8890" hidden="1" x14ac:dyDescent="0.25"/>
    <row r="8891" hidden="1" x14ac:dyDescent="0.25"/>
    <row r="8892" hidden="1" x14ac:dyDescent="0.25"/>
    <row r="8893" hidden="1" x14ac:dyDescent="0.25"/>
    <row r="8894" hidden="1" x14ac:dyDescent="0.25"/>
    <row r="8895" hidden="1" x14ac:dyDescent="0.25"/>
    <row r="8896" hidden="1" x14ac:dyDescent="0.25"/>
    <row r="8897" hidden="1" x14ac:dyDescent="0.25"/>
    <row r="8898" hidden="1" x14ac:dyDescent="0.25"/>
    <row r="8899" hidden="1" x14ac:dyDescent="0.25"/>
    <row r="8900" hidden="1" x14ac:dyDescent="0.25"/>
    <row r="8901" hidden="1" x14ac:dyDescent="0.25"/>
    <row r="8902" hidden="1" x14ac:dyDescent="0.25"/>
    <row r="8903" hidden="1" x14ac:dyDescent="0.25"/>
    <row r="8904" hidden="1" x14ac:dyDescent="0.25"/>
    <row r="8905" hidden="1" x14ac:dyDescent="0.25"/>
    <row r="8906" hidden="1" x14ac:dyDescent="0.25"/>
    <row r="8907" hidden="1" x14ac:dyDescent="0.25"/>
    <row r="8908" hidden="1" x14ac:dyDescent="0.25"/>
    <row r="8909" hidden="1" x14ac:dyDescent="0.25"/>
    <row r="8910" hidden="1" x14ac:dyDescent="0.25"/>
    <row r="8911" hidden="1" x14ac:dyDescent="0.25"/>
    <row r="8912" hidden="1" x14ac:dyDescent="0.25"/>
    <row r="8913" hidden="1" x14ac:dyDescent="0.25"/>
    <row r="8914" hidden="1" x14ac:dyDescent="0.25"/>
    <row r="8915" hidden="1" x14ac:dyDescent="0.25"/>
    <row r="8916" hidden="1" x14ac:dyDescent="0.25"/>
    <row r="8917" hidden="1" x14ac:dyDescent="0.25"/>
    <row r="8918" hidden="1" x14ac:dyDescent="0.25"/>
    <row r="8919" hidden="1" x14ac:dyDescent="0.25"/>
    <row r="8920" hidden="1" x14ac:dyDescent="0.25"/>
    <row r="8921" hidden="1" x14ac:dyDescent="0.25"/>
    <row r="8922" hidden="1" x14ac:dyDescent="0.25"/>
    <row r="8923" hidden="1" x14ac:dyDescent="0.25"/>
    <row r="8924" hidden="1" x14ac:dyDescent="0.25"/>
    <row r="8925" hidden="1" x14ac:dyDescent="0.25"/>
    <row r="8926" hidden="1" x14ac:dyDescent="0.25"/>
    <row r="8927" hidden="1" x14ac:dyDescent="0.25"/>
    <row r="8928" hidden="1" x14ac:dyDescent="0.25"/>
    <row r="8929" hidden="1" x14ac:dyDescent="0.25"/>
    <row r="8930" hidden="1" x14ac:dyDescent="0.25"/>
    <row r="8931" hidden="1" x14ac:dyDescent="0.25"/>
    <row r="8932" hidden="1" x14ac:dyDescent="0.25"/>
    <row r="8933" hidden="1" x14ac:dyDescent="0.25"/>
    <row r="8934" hidden="1" x14ac:dyDescent="0.25"/>
    <row r="8935" hidden="1" x14ac:dyDescent="0.25"/>
    <row r="8936" hidden="1" x14ac:dyDescent="0.25"/>
    <row r="8937" hidden="1" x14ac:dyDescent="0.25"/>
    <row r="8938" hidden="1" x14ac:dyDescent="0.25"/>
    <row r="8939" hidden="1" x14ac:dyDescent="0.25"/>
    <row r="8940" hidden="1" x14ac:dyDescent="0.25"/>
    <row r="8941" hidden="1" x14ac:dyDescent="0.25"/>
    <row r="8942" hidden="1" x14ac:dyDescent="0.25"/>
    <row r="8943" hidden="1" x14ac:dyDescent="0.25"/>
    <row r="8944" hidden="1" x14ac:dyDescent="0.25"/>
    <row r="8945" hidden="1" x14ac:dyDescent="0.25"/>
    <row r="8946" hidden="1" x14ac:dyDescent="0.25"/>
    <row r="8947" hidden="1" x14ac:dyDescent="0.25"/>
    <row r="8948" hidden="1" x14ac:dyDescent="0.25"/>
    <row r="8949" hidden="1" x14ac:dyDescent="0.25"/>
    <row r="8950" hidden="1" x14ac:dyDescent="0.25"/>
    <row r="8951" hidden="1" x14ac:dyDescent="0.25"/>
    <row r="8952" hidden="1" x14ac:dyDescent="0.25"/>
    <row r="8953" hidden="1" x14ac:dyDescent="0.25"/>
    <row r="8954" hidden="1" x14ac:dyDescent="0.25"/>
    <row r="8955" hidden="1" x14ac:dyDescent="0.25"/>
    <row r="8956" hidden="1" x14ac:dyDescent="0.25"/>
    <row r="8957" hidden="1" x14ac:dyDescent="0.25"/>
    <row r="8958" hidden="1" x14ac:dyDescent="0.25"/>
    <row r="8959" hidden="1" x14ac:dyDescent="0.25"/>
    <row r="8960" hidden="1" x14ac:dyDescent="0.25"/>
    <row r="8961" hidden="1" x14ac:dyDescent="0.25"/>
    <row r="8962" hidden="1" x14ac:dyDescent="0.25"/>
    <row r="8963" hidden="1" x14ac:dyDescent="0.25"/>
    <row r="8964" hidden="1" x14ac:dyDescent="0.25"/>
    <row r="8965" hidden="1" x14ac:dyDescent="0.25"/>
    <row r="8966" hidden="1" x14ac:dyDescent="0.25"/>
    <row r="8967" hidden="1" x14ac:dyDescent="0.25"/>
    <row r="8968" hidden="1" x14ac:dyDescent="0.25"/>
    <row r="8969" hidden="1" x14ac:dyDescent="0.25"/>
    <row r="8970" hidden="1" x14ac:dyDescent="0.25"/>
    <row r="8971" hidden="1" x14ac:dyDescent="0.25"/>
    <row r="8972" hidden="1" x14ac:dyDescent="0.25"/>
    <row r="8973" hidden="1" x14ac:dyDescent="0.25"/>
    <row r="8974" hidden="1" x14ac:dyDescent="0.25"/>
    <row r="8975" hidden="1" x14ac:dyDescent="0.25"/>
    <row r="8976" hidden="1" x14ac:dyDescent="0.25"/>
    <row r="8977" hidden="1" x14ac:dyDescent="0.25"/>
    <row r="8978" hidden="1" x14ac:dyDescent="0.25"/>
    <row r="8979" hidden="1" x14ac:dyDescent="0.25"/>
    <row r="8980" hidden="1" x14ac:dyDescent="0.25"/>
    <row r="8981" hidden="1" x14ac:dyDescent="0.25"/>
    <row r="8982" hidden="1" x14ac:dyDescent="0.25"/>
    <row r="8983" hidden="1" x14ac:dyDescent="0.25"/>
    <row r="8984" hidden="1" x14ac:dyDescent="0.25"/>
    <row r="8985" hidden="1" x14ac:dyDescent="0.25"/>
    <row r="8986" hidden="1" x14ac:dyDescent="0.25"/>
    <row r="8987" hidden="1" x14ac:dyDescent="0.25"/>
    <row r="8988" hidden="1" x14ac:dyDescent="0.25"/>
    <row r="8989" hidden="1" x14ac:dyDescent="0.25"/>
    <row r="8990" hidden="1" x14ac:dyDescent="0.25"/>
    <row r="8991" hidden="1" x14ac:dyDescent="0.25"/>
    <row r="8992" hidden="1" x14ac:dyDescent="0.25"/>
    <row r="8993" hidden="1" x14ac:dyDescent="0.25"/>
    <row r="8994" hidden="1" x14ac:dyDescent="0.25"/>
    <row r="8995" hidden="1" x14ac:dyDescent="0.25"/>
    <row r="8996" hidden="1" x14ac:dyDescent="0.25"/>
    <row r="8997" hidden="1" x14ac:dyDescent="0.25"/>
    <row r="8998" hidden="1" x14ac:dyDescent="0.25"/>
    <row r="8999" hidden="1" x14ac:dyDescent="0.25"/>
    <row r="9000" hidden="1" x14ac:dyDescent="0.25"/>
    <row r="9001" hidden="1" x14ac:dyDescent="0.25"/>
    <row r="9002" hidden="1" x14ac:dyDescent="0.25"/>
    <row r="9003" hidden="1" x14ac:dyDescent="0.25"/>
    <row r="9004" hidden="1" x14ac:dyDescent="0.25"/>
    <row r="9005" hidden="1" x14ac:dyDescent="0.25"/>
    <row r="9006" hidden="1" x14ac:dyDescent="0.25"/>
    <row r="9007" hidden="1" x14ac:dyDescent="0.25"/>
    <row r="9008" hidden="1" x14ac:dyDescent="0.25"/>
    <row r="9009" hidden="1" x14ac:dyDescent="0.25"/>
    <row r="9010" hidden="1" x14ac:dyDescent="0.25"/>
    <row r="9011" hidden="1" x14ac:dyDescent="0.25"/>
    <row r="9012" hidden="1" x14ac:dyDescent="0.25"/>
    <row r="9013" hidden="1" x14ac:dyDescent="0.25"/>
    <row r="9014" hidden="1" x14ac:dyDescent="0.25"/>
    <row r="9015" hidden="1" x14ac:dyDescent="0.25"/>
    <row r="9016" hidden="1" x14ac:dyDescent="0.25"/>
    <row r="9017" hidden="1" x14ac:dyDescent="0.25"/>
    <row r="9018" hidden="1" x14ac:dyDescent="0.25"/>
    <row r="9019" hidden="1" x14ac:dyDescent="0.25"/>
    <row r="9020" hidden="1" x14ac:dyDescent="0.25"/>
    <row r="9021" hidden="1" x14ac:dyDescent="0.25"/>
    <row r="9022" hidden="1" x14ac:dyDescent="0.25"/>
    <row r="9023" hidden="1" x14ac:dyDescent="0.25"/>
    <row r="9024" hidden="1" x14ac:dyDescent="0.25"/>
    <row r="9025" hidden="1" x14ac:dyDescent="0.25"/>
    <row r="9026" hidden="1" x14ac:dyDescent="0.25"/>
    <row r="9027" hidden="1" x14ac:dyDescent="0.25"/>
    <row r="9028" hidden="1" x14ac:dyDescent="0.25"/>
    <row r="9029" hidden="1" x14ac:dyDescent="0.25"/>
    <row r="9030" hidden="1" x14ac:dyDescent="0.25"/>
    <row r="9031" hidden="1" x14ac:dyDescent="0.25"/>
    <row r="9032" hidden="1" x14ac:dyDescent="0.25"/>
    <row r="9033" hidden="1" x14ac:dyDescent="0.25"/>
    <row r="9034" hidden="1" x14ac:dyDescent="0.25"/>
    <row r="9035" hidden="1" x14ac:dyDescent="0.25"/>
    <row r="9036" hidden="1" x14ac:dyDescent="0.25"/>
    <row r="9037" hidden="1" x14ac:dyDescent="0.25"/>
    <row r="9038" hidden="1" x14ac:dyDescent="0.25"/>
    <row r="9039" hidden="1" x14ac:dyDescent="0.25"/>
    <row r="9040" hidden="1" x14ac:dyDescent="0.25"/>
    <row r="9041" hidden="1" x14ac:dyDescent="0.25"/>
    <row r="9042" hidden="1" x14ac:dyDescent="0.25"/>
    <row r="9043" hidden="1" x14ac:dyDescent="0.25"/>
    <row r="9044" hidden="1" x14ac:dyDescent="0.25"/>
    <row r="9045" hidden="1" x14ac:dyDescent="0.25"/>
    <row r="9046" hidden="1" x14ac:dyDescent="0.25"/>
    <row r="9047" hidden="1" x14ac:dyDescent="0.25"/>
    <row r="9048" hidden="1" x14ac:dyDescent="0.25"/>
    <row r="9049" hidden="1" x14ac:dyDescent="0.25"/>
    <row r="9050" hidden="1" x14ac:dyDescent="0.25"/>
    <row r="9051" hidden="1" x14ac:dyDescent="0.25"/>
    <row r="9052" hidden="1" x14ac:dyDescent="0.25"/>
    <row r="9053" hidden="1" x14ac:dyDescent="0.25"/>
    <row r="9054" hidden="1" x14ac:dyDescent="0.25"/>
    <row r="9055" hidden="1" x14ac:dyDescent="0.25"/>
    <row r="9056" hidden="1" x14ac:dyDescent="0.25"/>
    <row r="9057" hidden="1" x14ac:dyDescent="0.25"/>
    <row r="9058" hidden="1" x14ac:dyDescent="0.25"/>
    <row r="9059" hidden="1" x14ac:dyDescent="0.25"/>
    <row r="9060" hidden="1" x14ac:dyDescent="0.25"/>
    <row r="9061" hidden="1" x14ac:dyDescent="0.25"/>
    <row r="9062" hidden="1" x14ac:dyDescent="0.25"/>
    <row r="9063" hidden="1" x14ac:dyDescent="0.25"/>
    <row r="9064" hidden="1" x14ac:dyDescent="0.25"/>
    <row r="9065" hidden="1" x14ac:dyDescent="0.25"/>
    <row r="9066" hidden="1" x14ac:dyDescent="0.25"/>
    <row r="9067" hidden="1" x14ac:dyDescent="0.25"/>
    <row r="9068" hidden="1" x14ac:dyDescent="0.25"/>
    <row r="9069" hidden="1" x14ac:dyDescent="0.25"/>
    <row r="9070" hidden="1" x14ac:dyDescent="0.25"/>
    <row r="9071" hidden="1" x14ac:dyDescent="0.25"/>
    <row r="9072" hidden="1" x14ac:dyDescent="0.25"/>
    <row r="9073" hidden="1" x14ac:dyDescent="0.25"/>
    <row r="9074" hidden="1" x14ac:dyDescent="0.25"/>
    <row r="9075" hidden="1" x14ac:dyDescent="0.25"/>
    <row r="9076" hidden="1" x14ac:dyDescent="0.25"/>
    <row r="9077" hidden="1" x14ac:dyDescent="0.25"/>
    <row r="9078" hidden="1" x14ac:dyDescent="0.25"/>
    <row r="9079" hidden="1" x14ac:dyDescent="0.25"/>
    <row r="9080" hidden="1" x14ac:dyDescent="0.25"/>
    <row r="9081" hidden="1" x14ac:dyDescent="0.25"/>
    <row r="9082" hidden="1" x14ac:dyDescent="0.25"/>
    <row r="9083" hidden="1" x14ac:dyDescent="0.25"/>
    <row r="9084" hidden="1" x14ac:dyDescent="0.25"/>
    <row r="9085" hidden="1" x14ac:dyDescent="0.25"/>
    <row r="9086" hidden="1" x14ac:dyDescent="0.25"/>
    <row r="9087" hidden="1" x14ac:dyDescent="0.25"/>
    <row r="9088" hidden="1" x14ac:dyDescent="0.25"/>
    <row r="9089" hidden="1" x14ac:dyDescent="0.25"/>
    <row r="9090" hidden="1" x14ac:dyDescent="0.25"/>
    <row r="9091" hidden="1" x14ac:dyDescent="0.25"/>
    <row r="9092" hidden="1" x14ac:dyDescent="0.25"/>
    <row r="9093" hidden="1" x14ac:dyDescent="0.25"/>
    <row r="9094" hidden="1" x14ac:dyDescent="0.25"/>
    <row r="9095" hidden="1" x14ac:dyDescent="0.25"/>
    <row r="9096" hidden="1" x14ac:dyDescent="0.25"/>
    <row r="9097" hidden="1" x14ac:dyDescent="0.25"/>
    <row r="9098" hidden="1" x14ac:dyDescent="0.25"/>
    <row r="9099" hidden="1" x14ac:dyDescent="0.25"/>
    <row r="9100" hidden="1" x14ac:dyDescent="0.25"/>
    <row r="9101" hidden="1" x14ac:dyDescent="0.25"/>
    <row r="9102" hidden="1" x14ac:dyDescent="0.25"/>
    <row r="9103" hidden="1" x14ac:dyDescent="0.25"/>
    <row r="9104" hidden="1" x14ac:dyDescent="0.25"/>
    <row r="9105" hidden="1" x14ac:dyDescent="0.25"/>
    <row r="9106" hidden="1" x14ac:dyDescent="0.25"/>
    <row r="9107" hidden="1" x14ac:dyDescent="0.25"/>
    <row r="9108" hidden="1" x14ac:dyDescent="0.25"/>
    <row r="9109" hidden="1" x14ac:dyDescent="0.25"/>
    <row r="9110" hidden="1" x14ac:dyDescent="0.25"/>
    <row r="9111" hidden="1" x14ac:dyDescent="0.25"/>
    <row r="9112" hidden="1" x14ac:dyDescent="0.25"/>
    <row r="9113" hidden="1" x14ac:dyDescent="0.25"/>
    <row r="9114" hidden="1" x14ac:dyDescent="0.25"/>
    <row r="9115" hidden="1" x14ac:dyDescent="0.25"/>
    <row r="9116" hidden="1" x14ac:dyDescent="0.25"/>
    <row r="9117" hidden="1" x14ac:dyDescent="0.25"/>
    <row r="9118" hidden="1" x14ac:dyDescent="0.25"/>
    <row r="9119" hidden="1" x14ac:dyDescent="0.25"/>
    <row r="9120" hidden="1" x14ac:dyDescent="0.25"/>
    <row r="9121" hidden="1" x14ac:dyDescent="0.25"/>
    <row r="9122" hidden="1" x14ac:dyDescent="0.25"/>
    <row r="9123" hidden="1" x14ac:dyDescent="0.25"/>
    <row r="9124" hidden="1" x14ac:dyDescent="0.25"/>
    <row r="9125" hidden="1" x14ac:dyDescent="0.25"/>
    <row r="9126" hidden="1" x14ac:dyDescent="0.25"/>
    <row r="9127" hidden="1" x14ac:dyDescent="0.25"/>
    <row r="9128" hidden="1" x14ac:dyDescent="0.25"/>
    <row r="9129" hidden="1" x14ac:dyDescent="0.25"/>
    <row r="9130" hidden="1" x14ac:dyDescent="0.25"/>
    <row r="9131" hidden="1" x14ac:dyDescent="0.25"/>
    <row r="9132" hidden="1" x14ac:dyDescent="0.25"/>
    <row r="9133" hidden="1" x14ac:dyDescent="0.25"/>
    <row r="9134" hidden="1" x14ac:dyDescent="0.25"/>
    <row r="9135" hidden="1" x14ac:dyDescent="0.25"/>
    <row r="9136" hidden="1" x14ac:dyDescent="0.25"/>
    <row r="9137" hidden="1" x14ac:dyDescent="0.25"/>
    <row r="9138" hidden="1" x14ac:dyDescent="0.25"/>
    <row r="9139" hidden="1" x14ac:dyDescent="0.25"/>
    <row r="9140" hidden="1" x14ac:dyDescent="0.25"/>
    <row r="9141" hidden="1" x14ac:dyDescent="0.25"/>
    <row r="9142" hidden="1" x14ac:dyDescent="0.25"/>
    <row r="9143" hidden="1" x14ac:dyDescent="0.25"/>
    <row r="9144" hidden="1" x14ac:dyDescent="0.25"/>
    <row r="9145" hidden="1" x14ac:dyDescent="0.25"/>
    <row r="9146" hidden="1" x14ac:dyDescent="0.25"/>
    <row r="9147" hidden="1" x14ac:dyDescent="0.25"/>
    <row r="9148" hidden="1" x14ac:dyDescent="0.25"/>
    <row r="9149" hidden="1" x14ac:dyDescent="0.25"/>
    <row r="9150" hidden="1" x14ac:dyDescent="0.25"/>
    <row r="9151" hidden="1" x14ac:dyDescent="0.25"/>
    <row r="9152" hidden="1" x14ac:dyDescent="0.25"/>
    <row r="9153" hidden="1" x14ac:dyDescent="0.25"/>
    <row r="9154" hidden="1" x14ac:dyDescent="0.25"/>
    <row r="9155" hidden="1" x14ac:dyDescent="0.25"/>
    <row r="9156" hidden="1" x14ac:dyDescent="0.25"/>
    <row r="9157" hidden="1" x14ac:dyDescent="0.25"/>
    <row r="9158" hidden="1" x14ac:dyDescent="0.25"/>
    <row r="9159" hidden="1" x14ac:dyDescent="0.25"/>
    <row r="9160" hidden="1" x14ac:dyDescent="0.25"/>
    <row r="9161" hidden="1" x14ac:dyDescent="0.25"/>
    <row r="9162" hidden="1" x14ac:dyDescent="0.25"/>
    <row r="9163" hidden="1" x14ac:dyDescent="0.25"/>
    <row r="9164" hidden="1" x14ac:dyDescent="0.25"/>
    <row r="9165" hidden="1" x14ac:dyDescent="0.25"/>
    <row r="9166" hidden="1" x14ac:dyDescent="0.25"/>
    <row r="9167" hidden="1" x14ac:dyDescent="0.25"/>
    <row r="9168" hidden="1" x14ac:dyDescent="0.25"/>
    <row r="9169" hidden="1" x14ac:dyDescent="0.25"/>
    <row r="9170" hidden="1" x14ac:dyDescent="0.25"/>
    <row r="9171" hidden="1" x14ac:dyDescent="0.25"/>
    <row r="9172" hidden="1" x14ac:dyDescent="0.25"/>
    <row r="9173" hidden="1" x14ac:dyDescent="0.25"/>
    <row r="9174" hidden="1" x14ac:dyDescent="0.25"/>
    <row r="9175" hidden="1" x14ac:dyDescent="0.25"/>
    <row r="9176" hidden="1" x14ac:dyDescent="0.25"/>
    <row r="9177" hidden="1" x14ac:dyDescent="0.25"/>
    <row r="9178" hidden="1" x14ac:dyDescent="0.25"/>
    <row r="9179" hidden="1" x14ac:dyDescent="0.25"/>
    <row r="9180" hidden="1" x14ac:dyDescent="0.25"/>
    <row r="9181" hidden="1" x14ac:dyDescent="0.25"/>
    <row r="9182" hidden="1" x14ac:dyDescent="0.25"/>
    <row r="9183" hidden="1" x14ac:dyDescent="0.25"/>
    <row r="9184" hidden="1" x14ac:dyDescent="0.25"/>
    <row r="9185" hidden="1" x14ac:dyDescent="0.25"/>
    <row r="9186" hidden="1" x14ac:dyDescent="0.25"/>
    <row r="9187" hidden="1" x14ac:dyDescent="0.25"/>
    <row r="9188" hidden="1" x14ac:dyDescent="0.25"/>
    <row r="9189" hidden="1" x14ac:dyDescent="0.25"/>
    <row r="9190" hidden="1" x14ac:dyDescent="0.25"/>
    <row r="9191" hidden="1" x14ac:dyDescent="0.25"/>
    <row r="9192" hidden="1" x14ac:dyDescent="0.25"/>
    <row r="9193" hidden="1" x14ac:dyDescent="0.25"/>
    <row r="9194" hidden="1" x14ac:dyDescent="0.25"/>
    <row r="9195" hidden="1" x14ac:dyDescent="0.25"/>
    <row r="9196" hidden="1" x14ac:dyDescent="0.25"/>
    <row r="9197" hidden="1" x14ac:dyDescent="0.25"/>
    <row r="9198" hidden="1" x14ac:dyDescent="0.25"/>
    <row r="9199" hidden="1" x14ac:dyDescent="0.25"/>
    <row r="9200" hidden="1" x14ac:dyDescent="0.25"/>
    <row r="9201" hidden="1" x14ac:dyDescent="0.25"/>
    <row r="9202" hidden="1" x14ac:dyDescent="0.25"/>
    <row r="9203" hidden="1" x14ac:dyDescent="0.25"/>
    <row r="9204" hidden="1" x14ac:dyDescent="0.25"/>
    <row r="9205" hidden="1" x14ac:dyDescent="0.25"/>
    <row r="9206" hidden="1" x14ac:dyDescent="0.25"/>
    <row r="9207" hidden="1" x14ac:dyDescent="0.25"/>
    <row r="9208" hidden="1" x14ac:dyDescent="0.25"/>
    <row r="9209" hidden="1" x14ac:dyDescent="0.25"/>
    <row r="9210" hidden="1" x14ac:dyDescent="0.25"/>
    <row r="9211" hidden="1" x14ac:dyDescent="0.25"/>
    <row r="9212" hidden="1" x14ac:dyDescent="0.25"/>
    <row r="9213" hidden="1" x14ac:dyDescent="0.25"/>
    <row r="9214" hidden="1" x14ac:dyDescent="0.25"/>
    <row r="9215" hidden="1" x14ac:dyDescent="0.25"/>
    <row r="9216" hidden="1" x14ac:dyDescent="0.25"/>
    <row r="9217" hidden="1" x14ac:dyDescent="0.25"/>
    <row r="9218" hidden="1" x14ac:dyDescent="0.25"/>
    <row r="9219" hidden="1" x14ac:dyDescent="0.25"/>
    <row r="9220" hidden="1" x14ac:dyDescent="0.25"/>
    <row r="9221" hidden="1" x14ac:dyDescent="0.25"/>
    <row r="9222" hidden="1" x14ac:dyDescent="0.25"/>
    <row r="9223" hidden="1" x14ac:dyDescent="0.25"/>
    <row r="9224" hidden="1" x14ac:dyDescent="0.25"/>
    <row r="9225" hidden="1" x14ac:dyDescent="0.25"/>
    <row r="9226" hidden="1" x14ac:dyDescent="0.25"/>
    <row r="9227" hidden="1" x14ac:dyDescent="0.25"/>
    <row r="9228" hidden="1" x14ac:dyDescent="0.25"/>
    <row r="9229" hidden="1" x14ac:dyDescent="0.25"/>
    <row r="9230" hidden="1" x14ac:dyDescent="0.25"/>
    <row r="9231" hidden="1" x14ac:dyDescent="0.25"/>
    <row r="9232" hidden="1" x14ac:dyDescent="0.25"/>
    <row r="9233" hidden="1" x14ac:dyDescent="0.25"/>
    <row r="9234" hidden="1" x14ac:dyDescent="0.25"/>
    <row r="9235" hidden="1" x14ac:dyDescent="0.25"/>
    <row r="9236" hidden="1" x14ac:dyDescent="0.25"/>
    <row r="9237" hidden="1" x14ac:dyDescent="0.25"/>
    <row r="9238" hidden="1" x14ac:dyDescent="0.25"/>
    <row r="9239" hidden="1" x14ac:dyDescent="0.25"/>
    <row r="9240" hidden="1" x14ac:dyDescent="0.25"/>
    <row r="9241" hidden="1" x14ac:dyDescent="0.25"/>
    <row r="9242" hidden="1" x14ac:dyDescent="0.25"/>
    <row r="9243" hidden="1" x14ac:dyDescent="0.25"/>
    <row r="9244" hidden="1" x14ac:dyDescent="0.25"/>
    <row r="9245" hidden="1" x14ac:dyDescent="0.25"/>
    <row r="9246" hidden="1" x14ac:dyDescent="0.25"/>
    <row r="9247" hidden="1" x14ac:dyDescent="0.25"/>
    <row r="9248" hidden="1" x14ac:dyDescent="0.25"/>
    <row r="9249" hidden="1" x14ac:dyDescent="0.25"/>
    <row r="9250" hidden="1" x14ac:dyDescent="0.25"/>
    <row r="9251" hidden="1" x14ac:dyDescent="0.25"/>
    <row r="9252" hidden="1" x14ac:dyDescent="0.25"/>
    <row r="9253" hidden="1" x14ac:dyDescent="0.25"/>
    <row r="9254" hidden="1" x14ac:dyDescent="0.25"/>
    <row r="9255" hidden="1" x14ac:dyDescent="0.25"/>
    <row r="9256" hidden="1" x14ac:dyDescent="0.25"/>
    <row r="9257" hidden="1" x14ac:dyDescent="0.25"/>
    <row r="9258" hidden="1" x14ac:dyDescent="0.25"/>
    <row r="9259" hidden="1" x14ac:dyDescent="0.25"/>
    <row r="9260" hidden="1" x14ac:dyDescent="0.25"/>
    <row r="9261" hidden="1" x14ac:dyDescent="0.25"/>
    <row r="9262" hidden="1" x14ac:dyDescent="0.25"/>
    <row r="9263" hidden="1" x14ac:dyDescent="0.25"/>
    <row r="9264" hidden="1" x14ac:dyDescent="0.25"/>
    <row r="9265" hidden="1" x14ac:dyDescent="0.25"/>
    <row r="9266" hidden="1" x14ac:dyDescent="0.25"/>
    <row r="9267" hidden="1" x14ac:dyDescent="0.25"/>
    <row r="9268" hidden="1" x14ac:dyDescent="0.25"/>
    <row r="9269" hidden="1" x14ac:dyDescent="0.25"/>
    <row r="9270" hidden="1" x14ac:dyDescent="0.25"/>
    <row r="9271" hidden="1" x14ac:dyDescent="0.25"/>
    <row r="9272" hidden="1" x14ac:dyDescent="0.25"/>
    <row r="9273" hidden="1" x14ac:dyDescent="0.25"/>
    <row r="9274" hidden="1" x14ac:dyDescent="0.25"/>
    <row r="9275" hidden="1" x14ac:dyDescent="0.25"/>
    <row r="9276" hidden="1" x14ac:dyDescent="0.25"/>
    <row r="9277" hidden="1" x14ac:dyDescent="0.25"/>
    <row r="9278" hidden="1" x14ac:dyDescent="0.25"/>
    <row r="9279" hidden="1" x14ac:dyDescent="0.25"/>
    <row r="9280" hidden="1" x14ac:dyDescent="0.25"/>
    <row r="9281" hidden="1" x14ac:dyDescent="0.25"/>
    <row r="9282" hidden="1" x14ac:dyDescent="0.25"/>
    <row r="9283" hidden="1" x14ac:dyDescent="0.25"/>
    <row r="9284" hidden="1" x14ac:dyDescent="0.25"/>
    <row r="9285" hidden="1" x14ac:dyDescent="0.25"/>
    <row r="9286" hidden="1" x14ac:dyDescent="0.25"/>
    <row r="9287" hidden="1" x14ac:dyDescent="0.25"/>
    <row r="9288" hidden="1" x14ac:dyDescent="0.25"/>
    <row r="9289" hidden="1" x14ac:dyDescent="0.25"/>
    <row r="9290" hidden="1" x14ac:dyDescent="0.25"/>
    <row r="9291" hidden="1" x14ac:dyDescent="0.25"/>
    <row r="9292" hidden="1" x14ac:dyDescent="0.25"/>
    <row r="9293" hidden="1" x14ac:dyDescent="0.25"/>
    <row r="9294" hidden="1" x14ac:dyDescent="0.25"/>
    <row r="9295" hidden="1" x14ac:dyDescent="0.25"/>
    <row r="9296" hidden="1" x14ac:dyDescent="0.25"/>
    <row r="9297" hidden="1" x14ac:dyDescent="0.25"/>
    <row r="9298" hidden="1" x14ac:dyDescent="0.25"/>
    <row r="9299" hidden="1" x14ac:dyDescent="0.25"/>
    <row r="9300" hidden="1" x14ac:dyDescent="0.25"/>
    <row r="9301" hidden="1" x14ac:dyDescent="0.25"/>
    <row r="9302" hidden="1" x14ac:dyDescent="0.25"/>
    <row r="9303" hidden="1" x14ac:dyDescent="0.25"/>
    <row r="9304" hidden="1" x14ac:dyDescent="0.25"/>
    <row r="9305" hidden="1" x14ac:dyDescent="0.25"/>
    <row r="9306" hidden="1" x14ac:dyDescent="0.25"/>
    <row r="9307" hidden="1" x14ac:dyDescent="0.25"/>
    <row r="9308" hidden="1" x14ac:dyDescent="0.25"/>
    <row r="9309" hidden="1" x14ac:dyDescent="0.25"/>
    <row r="9310" hidden="1" x14ac:dyDescent="0.25"/>
    <row r="9311" hidden="1" x14ac:dyDescent="0.25"/>
    <row r="9312" hidden="1" x14ac:dyDescent="0.25"/>
    <row r="9313" hidden="1" x14ac:dyDescent="0.25"/>
    <row r="9314" hidden="1" x14ac:dyDescent="0.25"/>
    <row r="9315" hidden="1" x14ac:dyDescent="0.25"/>
    <row r="9316" hidden="1" x14ac:dyDescent="0.25"/>
    <row r="9317" hidden="1" x14ac:dyDescent="0.25"/>
    <row r="9318" hidden="1" x14ac:dyDescent="0.25"/>
    <row r="9319" hidden="1" x14ac:dyDescent="0.25"/>
    <row r="9320" hidden="1" x14ac:dyDescent="0.25"/>
    <row r="9321" hidden="1" x14ac:dyDescent="0.25"/>
    <row r="9322" hidden="1" x14ac:dyDescent="0.25"/>
    <row r="9323" hidden="1" x14ac:dyDescent="0.25"/>
    <row r="9324" hidden="1" x14ac:dyDescent="0.25"/>
    <row r="9325" hidden="1" x14ac:dyDescent="0.25"/>
    <row r="9326" hidden="1" x14ac:dyDescent="0.25"/>
    <row r="9327" hidden="1" x14ac:dyDescent="0.25"/>
    <row r="9328" hidden="1" x14ac:dyDescent="0.25"/>
    <row r="9329" hidden="1" x14ac:dyDescent="0.25"/>
    <row r="9330" hidden="1" x14ac:dyDescent="0.25"/>
    <row r="9331" hidden="1" x14ac:dyDescent="0.25"/>
    <row r="9332" hidden="1" x14ac:dyDescent="0.25"/>
    <row r="9333" hidden="1" x14ac:dyDescent="0.25"/>
    <row r="9334" hidden="1" x14ac:dyDescent="0.25"/>
    <row r="9335" hidden="1" x14ac:dyDescent="0.25"/>
    <row r="9336" hidden="1" x14ac:dyDescent="0.25"/>
    <row r="9337" hidden="1" x14ac:dyDescent="0.25"/>
    <row r="9338" hidden="1" x14ac:dyDescent="0.25"/>
    <row r="9339" hidden="1" x14ac:dyDescent="0.25"/>
    <row r="9340" hidden="1" x14ac:dyDescent="0.25"/>
    <row r="9341" hidden="1" x14ac:dyDescent="0.25"/>
    <row r="9342" hidden="1" x14ac:dyDescent="0.25"/>
    <row r="9343" hidden="1" x14ac:dyDescent="0.25"/>
    <row r="9344" hidden="1" x14ac:dyDescent="0.25"/>
    <row r="9345" hidden="1" x14ac:dyDescent="0.25"/>
    <row r="9346" hidden="1" x14ac:dyDescent="0.25"/>
    <row r="9347" hidden="1" x14ac:dyDescent="0.25"/>
    <row r="9348" hidden="1" x14ac:dyDescent="0.25"/>
    <row r="9349" hidden="1" x14ac:dyDescent="0.25"/>
    <row r="9350" hidden="1" x14ac:dyDescent="0.25"/>
    <row r="9351" hidden="1" x14ac:dyDescent="0.25"/>
    <row r="9352" hidden="1" x14ac:dyDescent="0.25"/>
    <row r="9353" hidden="1" x14ac:dyDescent="0.25"/>
    <row r="9354" hidden="1" x14ac:dyDescent="0.25"/>
    <row r="9355" hidden="1" x14ac:dyDescent="0.25"/>
    <row r="9356" hidden="1" x14ac:dyDescent="0.25"/>
    <row r="9357" hidden="1" x14ac:dyDescent="0.25"/>
    <row r="9358" hidden="1" x14ac:dyDescent="0.25"/>
    <row r="9359" hidden="1" x14ac:dyDescent="0.25"/>
    <row r="9360" hidden="1" x14ac:dyDescent="0.25"/>
    <row r="9361" hidden="1" x14ac:dyDescent="0.25"/>
    <row r="9362" hidden="1" x14ac:dyDescent="0.25"/>
    <row r="9363" hidden="1" x14ac:dyDescent="0.25"/>
    <row r="9364" hidden="1" x14ac:dyDescent="0.25"/>
    <row r="9365" hidden="1" x14ac:dyDescent="0.25"/>
    <row r="9366" hidden="1" x14ac:dyDescent="0.25"/>
    <row r="9367" hidden="1" x14ac:dyDescent="0.25"/>
    <row r="9368" hidden="1" x14ac:dyDescent="0.25"/>
    <row r="9369" hidden="1" x14ac:dyDescent="0.25"/>
    <row r="9370" hidden="1" x14ac:dyDescent="0.25"/>
    <row r="9371" hidden="1" x14ac:dyDescent="0.25"/>
    <row r="9372" hidden="1" x14ac:dyDescent="0.25"/>
    <row r="9373" hidden="1" x14ac:dyDescent="0.25"/>
    <row r="9374" hidden="1" x14ac:dyDescent="0.25"/>
    <row r="9375" hidden="1" x14ac:dyDescent="0.25"/>
    <row r="9376" hidden="1" x14ac:dyDescent="0.25"/>
    <row r="9377" hidden="1" x14ac:dyDescent="0.25"/>
    <row r="9378" hidden="1" x14ac:dyDescent="0.25"/>
    <row r="9379" hidden="1" x14ac:dyDescent="0.25"/>
    <row r="9380" hidden="1" x14ac:dyDescent="0.25"/>
    <row r="9381" hidden="1" x14ac:dyDescent="0.25"/>
    <row r="9382" hidden="1" x14ac:dyDescent="0.25"/>
    <row r="9383" hidden="1" x14ac:dyDescent="0.25"/>
    <row r="9384" hidden="1" x14ac:dyDescent="0.25"/>
    <row r="9385" hidden="1" x14ac:dyDescent="0.25"/>
    <row r="9386" hidden="1" x14ac:dyDescent="0.25"/>
    <row r="9387" hidden="1" x14ac:dyDescent="0.25"/>
    <row r="9388" hidden="1" x14ac:dyDescent="0.25"/>
    <row r="9389" hidden="1" x14ac:dyDescent="0.25"/>
    <row r="9390" hidden="1" x14ac:dyDescent="0.25"/>
    <row r="9391" hidden="1" x14ac:dyDescent="0.25"/>
    <row r="9392" hidden="1" x14ac:dyDescent="0.25"/>
    <row r="9393" hidden="1" x14ac:dyDescent="0.25"/>
    <row r="9394" hidden="1" x14ac:dyDescent="0.25"/>
    <row r="9395" hidden="1" x14ac:dyDescent="0.25"/>
    <row r="9396" hidden="1" x14ac:dyDescent="0.25"/>
    <row r="9397" hidden="1" x14ac:dyDescent="0.25"/>
    <row r="9398" hidden="1" x14ac:dyDescent="0.25"/>
    <row r="9399" hidden="1" x14ac:dyDescent="0.25"/>
    <row r="9400" hidden="1" x14ac:dyDescent="0.25"/>
    <row r="9401" hidden="1" x14ac:dyDescent="0.25"/>
    <row r="9402" hidden="1" x14ac:dyDescent="0.25"/>
    <row r="9403" hidden="1" x14ac:dyDescent="0.25"/>
    <row r="9404" hidden="1" x14ac:dyDescent="0.25"/>
    <row r="9405" hidden="1" x14ac:dyDescent="0.25"/>
    <row r="9406" hidden="1" x14ac:dyDescent="0.25"/>
    <row r="9407" hidden="1" x14ac:dyDescent="0.25"/>
    <row r="9408" hidden="1" x14ac:dyDescent="0.25"/>
    <row r="9409" hidden="1" x14ac:dyDescent="0.25"/>
    <row r="9410" hidden="1" x14ac:dyDescent="0.25"/>
    <row r="9411" hidden="1" x14ac:dyDescent="0.25"/>
    <row r="9412" hidden="1" x14ac:dyDescent="0.25"/>
    <row r="9413" hidden="1" x14ac:dyDescent="0.25"/>
    <row r="9414" hidden="1" x14ac:dyDescent="0.25"/>
    <row r="9415" hidden="1" x14ac:dyDescent="0.25"/>
    <row r="9416" hidden="1" x14ac:dyDescent="0.25"/>
    <row r="9417" hidden="1" x14ac:dyDescent="0.25"/>
    <row r="9418" hidden="1" x14ac:dyDescent="0.25"/>
    <row r="9419" hidden="1" x14ac:dyDescent="0.25"/>
    <row r="9420" hidden="1" x14ac:dyDescent="0.25"/>
    <row r="9421" hidden="1" x14ac:dyDescent="0.25"/>
    <row r="9422" hidden="1" x14ac:dyDescent="0.25"/>
    <row r="9423" hidden="1" x14ac:dyDescent="0.25"/>
    <row r="9424" hidden="1" x14ac:dyDescent="0.25"/>
    <row r="9425" hidden="1" x14ac:dyDescent="0.25"/>
    <row r="9426" hidden="1" x14ac:dyDescent="0.25"/>
    <row r="9427" hidden="1" x14ac:dyDescent="0.25"/>
    <row r="9428" hidden="1" x14ac:dyDescent="0.25"/>
    <row r="9429" hidden="1" x14ac:dyDescent="0.25"/>
    <row r="9430" hidden="1" x14ac:dyDescent="0.25"/>
    <row r="9431" hidden="1" x14ac:dyDescent="0.25"/>
    <row r="9432" hidden="1" x14ac:dyDescent="0.25"/>
    <row r="9433" hidden="1" x14ac:dyDescent="0.25"/>
    <row r="9434" hidden="1" x14ac:dyDescent="0.25"/>
    <row r="9435" hidden="1" x14ac:dyDescent="0.25"/>
    <row r="9436" hidden="1" x14ac:dyDescent="0.25"/>
    <row r="9437" hidden="1" x14ac:dyDescent="0.25"/>
    <row r="9438" hidden="1" x14ac:dyDescent="0.25"/>
    <row r="9439" hidden="1" x14ac:dyDescent="0.25"/>
    <row r="9440" hidden="1" x14ac:dyDescent="0.25"/>
    <row r="9441" hidden="1" x14ac:dyDescent="0.25"/>
    <row r="9442" hidden="1" x14ac:dyDescent="0.25"/>
    <row r="9443" hidden="1" x14ac:dyDescent="0.25"/>
    <row r="9444" hidden="1" x14ac:dyDescent="0.25"/>
    <row r="9445" hidden="1" x14ac:dyDescent="0.25"/>
    <row r="9446" hidden="1" x14ac:dyDescent="0.25"/>
    <row r="9447" hidden="1" x14ac:dyDescent="0.25"/>
    <row r="9448" hidden="1" x14ac:dyDescent="0.25"/>
    <row r="9449" hidden="1" x14ac:dyDescent="0.25"/>
    <row r="9450" hidden="1" x14ac:dyDescent="0.25"/>
    <row r="9451" hidden="1" x14ac:dyDescent="0.25"/>
    <row r="9452" hidden="1" x14ac:dyDescent="0.25"/>
    <row r="9453" hidden="1" x14ac:dyDescent="0.25"/>
    <row r="9454" hidden="1" x14ac:dyDescent="0.25"/>
    <row r="9455" hidden="1" x14ac:dyDescent="0.25"/>
    <row r="9456" hidden="1" x14ac:dyDescent="0.25"/>
    <row r="9457" hidden="1" x14ac:dyDescent="0.25"/>
    <row r="9458" hidden="1" x14ac:dyDescent="0.25"/>
    <row r="9459" hidden="1" x14ac:dyDescent="0.25"/>
    <row r="9460" hidden="1" x14ac:dyDescent="0.25"/>
    <row r="9461" hidden="1" x14ac:dyDescent="0.25"/>
    <row r="9462" hidden="1" x14ac:dyDescent="0.25"/>
    <row r="9463" hidden="1" x14ac:dyDescent="0.25"/>
    <row r="9464" hidden="1" x14ac:dyDescent="0.25"/>
    <row r="9465" hidden="1" x14ac:dyDescent="0.25"/>
    <row r="9466" hidden="1" x14ac:dyDescent="0.25"/>
    <row r="9467" hidden="1" x14ac:dyDescent="0.25"/>
    <row r="9468" hidden="1" x14ac:dyDescent="0.25"/>
    <row r="9469" hidden="1" x14ac:dyDescent="0.25"/>
    <row r="9470" hidden="1" x14ac:dyDescent="0.25"/>
    <row r="9471" hidden="1" x14ac:dyDescent="0.25"/>
    <row r="9472" hidden="1" x14ac:dyDescent="0.25"/>
    <row r="9473" hidden="1" x14ac:dyDescent="0.25"/>
    <row r="9474" hidden="1" x14ac:dyDescent="0.25"/>
    <row r="9475" hidden="1" x14ac:dyDescent="0.25"/>
    <row r="9476" hidden="1" x14ac:dyDescent="0.25"/>
    <row r="9477" hidden="1" x14ac:dyDescent="0.25"/>
    <row r="9478" hidden="1" x14ac:dyDescent="0.25"/>
    <row r="9479" hidden="1" x14ac:dyDescent="0.25"/>
    <row r="9480" hidden="1" x14ac:dyDescent="0.25"/>
    <row r="9481" hidden="1" x14ac:dyDescent="0.25"/>
    <row r="9482" hidden="1" x14ac:dyDescent="0.25"/>
    <row r="9483" hidden="1" x14ac:dyDescent="0.25"/>
    <row r="9484" hidden="1" x14ac:dyDescent="0.25"/>
    <row r="9485" hidden="1" x14ac:dyDescent="0.25"/>
    <row r="9486" hidden="1" x14ac:dyDescent="0.25"/>
    <row r="9487" hidden="1" x14ac:dyDescent="0.25"/>
    <row r="9488" hidden="1" x14ac:dyDescent="0.25"/>
    <row r="9489" hidden="1" x14ac:dyDescent="0.25"/>
    <row r="9490" hidden="1" x14ac:dyDescent="0.25"/>
    <row r="9491" hidden="1" x14ac:dyDescent="0.25"/>
    <row r="9492" hidden="1" x14ac:dyDescent="0.25"/>
    <row r="9493" hidden="1" x14ac:dyDescent="0.25"/>
    <row r="9494" hidden="1" x14ac:dyDescent="0.25"/>
    <row r="9495" hidden="1" x14ac:dyDescent="0.25"/>
    <row r="9496" hidden="1" x14ac:dyDescent="0.25"/>
    <row r="9497" hidden="1" x14ac:dyDescent="0.25"/>
    <row r="9498" hidden="1" x14ac:dyDescent="0.25"/>
    <row r="9499" hidden="1" x14ac:dyDescent="0.25"/>
    <row r="9500" hidden="1" x14ac:dyDescent="0.25"/>
    <row r="9501" hidden="1" x14ac:dyDescent="0.25"/>
    <row r="9502" hidden="1" x14ac:dyDescent="0.25"/>
    <row r="9503" hidden="1" x14ac:dyDescent="0.25"/>
    <row r="9504" hidden="1" x14ac:dyDescent="0.25"/>
    <row r="9505" hidden="1" x14ac:dyDescent="0.25"/>
    <row r="9506" hidden="1" x14ac:dyDescent="0.25"/>
    <row r="9507" hidden="1" x14ac:dyDescent="0.25"/>
    <row r="9508" hidden="1" x14ac:dyDescent="0.25"/>
    <row r="9509" hidden="1" x14ac:dyDescent="0.25"/>
    <row r="9510" hidden="1" x14ac:dyDescent="0.25"/>
    <row r="9511" hidden="1" x14ac:dyDescent="0.25"/>
    <row r="9512" hidden="1" x14ac:dyDescent="0.25"/>
    <row r="9513" hidden="1" x14ac:dyDescent="0.25"/>
    <row r="9514" hidden="1" x14ac:dyDescent="0.25"/>
    <row r="9515" hidden="1" x14ac:dyDescent="0.25"/>
    <row r="9516" hidden="1" x14ac:dyDescent="0.25"/>
    <row r="9517" hidden="1" x14ac:dyDescent="0.25"/>
    <row r="9518" hidden="1" x14ac:dyDescent="0.25"/>
    <row r="9519" hidden="1" x14ac:dyDescent="0.25"/>
    <row r="9520" hidden="1" x14ac:dyDescent="0.25"/>
    <row r="9521" hidden="1" x14ac:dyDescent="0.25"/>
    <row r="9522" hidden="1" x14ac:dyDescent="0.25"/>
    <row r="9523" hidden="1" x14ac:dyDescent="0.25"/>
    <row r="9524" hidden="1" x14ac:dyDescent="0.25"/>
    <row r="9525" hidden="1" x14ac:dyDescent="0.25"/>
    <row r="9526" hidden="1" x14ac:dyDescent="0.25"/>
    <row r="9527" hidden="1" x14ac:dyDescent="0.25"/>
    <row r="9528" hidden="1" x14ac:dyDescent="0.25"/>
    <row r="9529" hidden="1" x14ac:dyDescent="0.25"/>
    <row r="9530" hidden="1" x14ac:dyDescent="0.25"/>
    <row r="9531" hidden="1" x14ac:dyDescent="0.25"/>
    <row r="9532" hidden="1" x14ac:dyDescent="0.25"/>
    <row r="9533" hidden="1" x14ac:dyDescent="0.25"/>
    <row r="9534" hidden="1" x14ac:dyDescent="0.25"/>
    <row r="9535" hidden="1" x14ac:dyDescent="0.25"/>
    <row r="9536" hidden="1" x14ac:dyDescent="0.25"/>
    <row r="9537" hidden="1" x14ac:dyDescent="0.25"/>
    <row r="9538" hidden="1" x14ac:dyDescent="0.25"/>
    <row r="9539" hidden="1" x14ac:dyDescent="0.25"/>
    <row r="9540" hidden="1" x14ac:dyDescent="0.25"/>
    <row r="9541" hidden="1" x14ac:dyDescent="0.25"/>
    <row r="9542" hidden="1" x14ac:dyDescent="0.25"/>
    <row r="9543" hidden="1" x14ac:dyDescent="0.25"/>
    <row r="9544" hidden="1" x14ac:dyDescent="0.25"/>
    <row r="9545" hidden="1" x14ac:dyDescent="0.25"/>
    <row r="9546" hidden="1" x14ac:dyDescent="0.25"/>
    <row r="9547" hidden="1" x14ac:dyDescent="0.25"/>
    <row r="9548" hidden="1" x14ac:dyDescent="0.25"/>
    <row r="9549" hidden="1" x14ac:dyDescent="0.25"/>
    <row r="9550" hidden="1" x14ac:dyDescent="0.25"/>
    <row r="9551" hidden="1" x14ac:dyDescent="0.25"/>
    <row r="9552" hidden="1" x14ac:dyDescent="0.25"/>
    <row r="9553" hidden="1" x14ac:dyDescent="0.25"/>
    <row r="9554" hidden="1" x14ac:dyDescent="0.25"/>
    <row r="9555" hidden="1" x14ac:dyDescent="0.25"/>
    <row r="9556" hidden="1" x14ac:dyDescent="0.25"/>
    <row r="9557" hidden="1" x14ac:dyDescent="0.25"/>
    <row r="9558" hidden="1" x14ac:dyDescent="0.25"/>
    <row r="9559" hidden="1" x14ac:dyDescent="0.25"/>
    <row r="9560" hidden="1" x14ac:dyDescent="0.25"/>
    <row r="9561" hidden="1" x14ac:dyDescent="0.25"/>
    <row r="9562" hidden="1" x14ac:dyDescent="0.25"/>
    <row r="9563" hidden="1" x14ac:dyDescent="0.25"/>
    <row r="9564" hidden="1" x14ac:dyDescent="0.25"/>
    <row r="9565" hidden="1" x14ac:dyDescent="0.25"/>
    <row r="9566" hidden="1" x14ac:dyDescent="0.25"/>
    <row r="9567" hidden="1" x14ac:dyDescent="0.25"/>
    <row r="9568" hidden="1" x14ac:dyDescent="0.25"/>
    <row r="9569" hidden="1" x14ac:dyDescent="0.25"/>
    <row r="9570" hidden="1" x14ac:dyDescent="0.25"/>
    <row r="9571" hidden="1" x14ac:dyDescent="0.25"/>
    <row r="9572" hidden="1" x14ac:dyDescent="0.25"/>
    <row r="9573" hidden="1" x14ac:dyDescent="0.25"/>
    <row r="9574" hidden="1" x14ac:dyDescent="0.25"/>
    <row r="9575" hidden="1" x14ac:dyDescent="0.25"/>
    <row r="9576" hidden="1" x14ac:dyDescent="0.25"/>
    <row r="9577" hidden="1" x14ac:dyDescent="0.25"/>
    <row r="9578" hidden="1" x14ac:dyDescent="0.25"/>
    <row r="9579" hidden="1" x14ac:dyDescent="0.25"/>
    <row r="9580" hidden="1" x14ac:dyDescent="0.25"/>
    <row r="9581" hidden="1" x14ac:dyDescent="0.25"/>
    <row r="9582" hidden="1" x14ac:dyDescent="0.25"/>
    <row r="9583" hidden="1" x14ac:dyDescent="0.25"/>
    <row r="9584" hidden="1" x14ac:dyDescent="0.25"/>
    <row r="9585" hidden="1" x14ac:dyDescent="0.25"/>
    <row r="9586" hidden="1" x14ac:dyDescent="0.25"/>
    <row r="9587" hidden="1" x14ac:dyDescent="0.25"/>
    <row r="9588" hidden="1" x14ac:dyDescent="0.25"/>
    <row r="9589" hidden="1" x14ac:dyDescent="0.25"/>
    <row r="9590" hidden="1" x14ac:dyDescent="0.25"/>
    <row r="9591" hidden="1" x14ac:dyDescent="0.25"/>
    <row r="9592" hidden="1" x14ac:dyDescent="0.25"/>
    <row r="9593" hidden="1" x14ac:dyDescent="0.25"/>
    <row r="9594" hidden="1" x14ac:dyDescent="0.25"/>
    <row r="9595" hidden="1" x14ac:dyDescent="0.25"/>
    <row r="9596" hidden="1" x14ac:dyDescent="0.25"/>
    <row r="9597" hidden="1" x14ac:dyDescent="0.25"/>
    <row r="9598" hidden="1" x14ac:dyDescent="0.25"/>
    <row r="9599" hidden="1" x14ac:dyDescent="0.25"/>
    <row r="9600" hidden="1" x14ac:dyDescent="0.25"/>
    <row r="9601" hidden="1" x14ac:dyDescent="0.25"/>
    <row r="9602" hidden="1" x14ac:dyDescent="0.25"/>
    <row r="9603" hidden="1" x14ac:dyDescent="0.25"/>
    <row r="9604" hidden="1" x14ac:dyDescent="0.25"/>
    <row r="9605" hidden="1" x14ac:dyDescent="0.25"/>
    <row r="9606" hidden="1" x14ac:dyDescent="0.25"/>
    <row r="9607" hidden="1" x14ac:dyDescent="0.25"/>
    <row r="9608" hidden="1" x14ac:dyDescent="0.25"/>
    <row r="9609" hidden="1" x14ac:dyDescent="0.25"/>
    <row r="9610" hidden="1" x14ac:dyDescent="0.25"/>
    <row r="9611" hidden="1" x14ac:dyDescent="0.25"/>
    <row r="9612" hidden="1" x14ac:dyDescent="0.25"/>
    <row r="9613" hidden="1" x14ac:dyDescent="0.25"/>
    <row r="9614" hidden="1" x14ac:dyDescent="0.25"/>
    <row r="9615" hidden="1" x14ac:dyDescent="0.25"/>
    <row r="9616" hidden="1" x14ac:dyDescent="0.25"/>
    <row r="9617" hidden="1" x14ac:dyDescent="0.25"/>
    <row r="9618" hidden="1" x14ac:dyDescent="0.25"/>
    <row r="9619" hidden="1" x14ac:dyDescent="0.25"/>
    <row r="9620" hidden="1" x14ac:dyDescent="0.25"/>
    <row r="9621" hidden="1" x14ac:dyDescent="0.25"/>
    <row r="9622" hidden="1" x14ac:dyDescent="0.25"/>
    <row r="9623" hidden="1" x14ac:dyDescent="0.25"/>
    <row r="9624" hidden="1" x14ac:dyDescent="0.25"/>
    <row r="9625" hidden="1" x14ac:dyDescent="0.25"/>
    <row r="9626" hidden="1" x14ac:dyDescent="0.25"/>
    <row r="9627" hidden="1" x14ac:dyDescent="0.25"/>
    <row r="9628" hidden="1" x14ac:dyDescent="0.25"/>
    <row r="9629" hidden="1" x14ac:dyDescent="0.25"/>
    <row r="9630" hidden="1" x14ac:dyDescent="0.25"/>
    <row r="9631" hidden="1" x14ac:dyDescent="0.25"/>
    <row r="9632" hidden="1" x14ac:dyDescent="0.25"/>
    <row r="9633" hidden="1" x14ac:dyDescent="0.25"/>
    <row r="9634" hidden="1" x14ac:dyDescent="0.25"/>
    <row r="9635" hidden="1" x14ac:dyDescent="0.25"/>
    <row r="9636" hidden="1" x14ac:dyDescent="0.25"/>
    <row r="9637" hidden="1" x14ac:dyDescent="0.25"/>
    <row r="9638" hidden="1" x14ac:dyDescent="0.25"/>
    <row r="9639" hidden="1" x14ac:dyDescent="0.25"/>
    <row r="9640" hidden="1" x14ac:dyDescent="0.25"/>
    <row r="9641" hidden="1" x14ac:dyDescent="0.25"/>
    <row r="9642" hidden="1" x14ac:dyDescent="0.25"/>
    <row r="9643" hidden="1" x14ac:dyDescent="0.25"/>
    <row r="9644" hidden="1" x14ac:dyDescent="0.25"/>
    <row r="9645" hidden="1" x14ac:dyDescent="0.25"/>
    <row r="9646" hidden="1" x14ac:dyDescent="0.25"/>
    <row r="9647" hidden="1" x14ac:dyDescent="0.25"/>
    <row r="9648" hidden="1" x14ac:dyDescent="0.25"/>
    <row r="9649" hidden="1" x14ac:dyDescent="0.25"/>
    <row r="9650" hidden="1" x14ac:dyDescent="0.25"/>
    <row r="9651" hidden="1" x14ac:dyDescent="0.25"/>
    <row r="9652" hidden="1" x14ac:dyDescent="0.25"/>
    <row r="9653" hidden="1" x14ac:dyDescent="0.25"/>
    <row r="9654" hidden="1" x14ac:dyDescent="0.25"/>
    <row r="9655" hidden="1" x14ac:dyDescent="0.25"/>
    <row r="9656" hidden="1" x14ac:dyDescent="0.25"/>
    <row r="9657" hidden="1" x14ac:dyDescent="0.25"/>
    <row r="9658" hidden="1" x14ac:dyDescent="0.25"/>
    <row r="9659" hidden="1" x14ac:dyDescent="0.25"/>
    <row r="9660" hidden="1" x14ac:dyDescent="0.25"/>
    <row r="9661" hidden="1" x14ac:dyDescent="0.25"/>
    <row r="9662" hidden="1" x14ac:dyDescent="0.25"/>
    <row r="9663" hidden="1" x14ac:dyDescent="0.25"/>
    <row r="9664" hidden="1" x14ac:dyDescent="0.25"/>
    <row r="9665" hidden="1" x14ac:dyDescent="0.25"/>
    <row r="9666" hidden="1" x14ac:dyDescent="0.25"/>
    <row r="9667" hidden="1" x14ac:dyDescent="0.25"/>
    <row r="9668" hidden="1" x14ac:dyDescent="0.25"/>
    <row r="9669" hidden="1" x14ac:dyDescent="0.25"/>
    <row r="9670" hidden="1" x14ac:dyDescent="0.25"/>
    <row r="9671" hidden="1" x14ac:dyDescent="0.25"/>
    <row r="9672" hidden="1" x14ac:dyDescent="0.25"/>
    <row r="9673" hidden="1" x14ac:dyDescent="0.25"/>
    <row r="9674" hidden="1" x14ac:dyDescent="0.25"/>
    <row r="9675" hidden="1" x14ac:dyDescent="0.25"/>
    <row r="9676" hidden="1" x14ac:dyDescent="0.25"/>
    <row r="9677" hidden="1" x14ac:dyDescent="0.25"/>
    <row r="9678" hidden="1" x14ac:dyDescent="0.25"/>
    <row r="9679" hidden="1" x14ac:dyDescent="0.25"/>
    <row r="9680" hidden="1" x14ac:dyDescent="0.25"/>
    <row r="9681" hidden="1" x14ac:dyDescent="0.25"/>
    <row r="9682" hidden="1" x14ac:dyDescent="0.25"/>
    <row r="9683" hidden="1" x14ac:dyDescent="0.25"/>
    <row r="9684" hidden="1" x14ac:dyDescent="0.25"/>
    <row r="9685" hidden="1" x14ac:dyDescent="0.25"/>
    <row r="9686" hidden="1" x14ac:dyDescent="0.25"/>
    <row r="9687" hidden="1" x14ac:dyDescent="0.25"/>
    <row r="9688" hidden="1" x14ac:dyDescent="0.25"/>
    <row r="9689" hidden="1" x14ac:dyDescent="0.25"/>
    <row r="9690" hidden="1" x14ac:dyDescent="0.25"/>
    <row r="9691" hidden="1" x14ac:dyDescent="0.25"/>
    <row r="9692" hidden="1" x14ac:dyDescent="0.25"/>
    <row r="9693" hidden="1" x14ac:dyDescent="0.25"/>
    <row r="9694" hidden="1" x14ac:dyDescent="0.25"/>
    <row r="9695" hidden="1" x14ac:dyDescent="0.25"/>
    <row r="9696" hidden="1" x14ac:dyDescent="0.25"/>
    <row r="9697" hidden="1" x14ac:dyDescent="0.25"/>
    <row r="9698" hidden="1" x14ac:dyDescent="0.25"/>
    <row r="9699" hidden="1" x14ac:dyDescent="0.25"/>
    <row r="9700" hidden="1" x14ac:dyDescent="0.25"/>
    <row r="9701" hidden="1" x14ac:dyDescent="0.25"/>
    <row r="9702" hidden="1" x14ac:dyDescent="0.25"/>
    <row r="9703" hidden="1" x14ac:dyDescent="0.25"/>
    <row r="9704" hidden="1" x14ac:dyDescent="0.25"/>
    <row r="9705" hidden="1" x14ac:dyDescent="0.25"/>
    <row r="9706" hidden="1" x14ac:dyDescent="0.25"/>
    <row r="9707" hidden="1" x14ac:dyDescent="0.25"/>
    <row r="9708" hidden="1" x14ac:dyDescent="0.25"/>
    <row r="9709" hidden="1" x14ac:dyDescent="0.25"/>
    <row r="9710" hidden="1" x14ac:dyDescent="0.25"/>
    <row r="9711" hidden="1" x14ac:dyDescent="0.25"/>
    <row r="9712" hidden="1" x14ac:dyDescent="0.25"/>
    <row r="9713" hidden="1" x14ac:dyDescent="0.25"/>
    <row r="9714" hidden="1" x14ac:dyDescent="0.25"/>
    <row r="9715" hidden="1" x14ac:dyDescent="0.25"/>
    <row r="9716" hidden="1" x14ac:dyDescent="0.25"/>
    <row r="9717" hidden="1" x14ac:dyDescent="0.25"/>
    <row r="9718" hidden="1" x14ac:dyDescent="0.25"/>
    <row r="9719" hidden="1" x14ac:dyDescent="0.25"/>
    <row r="9720" hidden="1" x14ac:dyDescent="0.25"/>
    <row r="9721" hidden="1" x14ac:dyDescent="0.25"/>
    <row r="9722" hidden="1" x14ac:dyDescent="0.25"/>
    <row r="9723" hidden="1" x14ac:dyDescent="0.25"/>
    <row r="9724" hidden="1" x14ac:dyDescent="0.25"/>
    <row r="9725" hidden="1" x14ac:dyDescent="0.25"/>
    <row r="9726" hidden="1" x14ac:dyDescent="0.25"/>
    <row r="9727" hidden="1" x14ac:dyDescent="0.25"/>
    <row r="9728" hidden="1" x14ac:dyDescent="0.25"/>
    <row r="9729" hidden="1" x14ac:dyDescent="0.25"/>
    <row r="9730" hidden="1" x14ac:dyDescent="0.25"/>
    <row r="9731" hidden="1" x14ac:dyDescent="0.25"/>
    <row r="9732" hidden="1" x14ac:dyDescent="0.25"/>
    <row r="9733" hidden="1" x14ac:dyDescent="0.25"/>
    <row r="9734" hidden="1" x14ac:dyDescent="0.25"/>
    <row r="9735" hidden="1" x14ac:dyDescent="0.25"/>
    <row r="9736" hidden="1" x14ac:dyDescent="0.25"/>
    <row r="9737" hidden="1" x14ac:dyDescent="0.25"/>
    <row r="9738" hidden="1" x14ac:dyDescent="0.25"/>
    <row r="9739" hidden="1" x14ac:dyDescent="0.25"/>
    <row r="9740" hidden="1" x14ac:dyDescent="0.25"/>
    <row r="9741" hidden="1" x14ac:dyDescent="0.25"/>
    <row r="9742" hidden="1" x14ac:dyDescent="0.25"/>
    <row r="9743" hidden="1" x14ac:dyDescent="0.25"/>
    <row r="9744" hidden="1" x14ac:dyDescent="0.25"/>
    <row r="9745" hidden="1" x14ac:dyDescent="0.25"/>
    <row r="9746" hidden="1" x14ac:dyDescent="0.25"/>
    <row r="9747" hidden="1" x14ac:dyDescent="0.25"/>
    <row r="9748" hidden="1" x14ac:dyDescent="0.25"/>
    <row r="9749" hidden="1" x14ac:dyDescent="0.25"/>
    <row r="9750" hidden="1" x14ac:dyDescent="0.25"/>
    <row r="9751" hidden="1" x14ac:dyDescent="0.25"/>
    <row r="9752" hidden="1" x14ac:dyDescent="0.25"/>
    <row r="9753" hidden="1" x14ac:dyDescent="0.25"/>
    <row r="9754" hidden="1" x14ac:dyDescent="0.25"/>
    <row r="9755" hidden="1" x14ac:dyDescent="0.25"/>
    <row r="9756" hidden="1" x14ac:dyDescent="0.25"/>
    <row r="9757" hidden="1" x14ac:dyDescent="0.25"/>
    <row r="9758" hidden="1" x14ac:dyDescent="0.25"/>
    <row r="9759" hidden="1" x14ac:dyDescent="0.25"/>
    <row r="9760" hidden="1" x14ac:dyDescent="0.25"/>
    <row r="9761" hidden="1" x14ac:dyDescent="0.25"/>
    <row r="9762" hidden="1" x14ac:dyDescent="0.25"/>
    <row r="9763" hidden="1" x14ac:dyDescent="0.25"/>
    <row r="9764" hidden="1" x14ac:dyDescent="0.25"/>
    <row r="9765" hidden="1" x14ac:dyDescent="0.25"/>
    <row r="9766" hidden="1" x14ac:dyDescent="0.25"/>
    <row r="9767" hidden="1" x14ac:dyDescent="0.25"/>
    <row r="9768" hidden="1" x14ac:dyDescent="0.25"/>
    <row r="9769" hidden="1" x14ac:dyDescent="0.25"/>
    <row r="9770" hidden="1" x14ac:dyDescent="0.25"/>
    <row r="9771" hidden="1" x14ac:dyDescent="0.25"/>
    <row r="9772" hidden="1" x14ac:dyDescent="0.25"/>
    <row r="9773" hidden="1" x14ac:dyDescent="0.25"/>
    <row r="9774" hidden="1" x14ac:dyDescent="0.25"/>
    <row r="9775" hidden="1" x14ac:dyDescent="0.25"/>
    <row r="9776" hidden="1" x14ac:dyDescent="0.25"/>
    <row r="9777" hidden="1" x14ac:dyDescent="0.25"/>
    <row r="9778" hidden="1" x14ac:dyDescent="0.25"/>
    <row r="9779" hidden="1" x14ac:dyDescent="0.25"/>
    <row r="9780" hidden="1" x14ac:dyDescent="0.25"/>
    <row r="9781" hidden="1" x14ac:dyDescent="0.25"/>
    <row r="9782" hidden="1" x14ac:dyDescent="0.25"/>
    <row r="9783" hidden="1" x14ac:dyDescent="0.25"/>
    <row r="9784" hidden="1" x14ac:dyDescent="0.25"/>
    <row r="9785" hidden="1" x14ac:dyDescent="0.25"/>
    <row r="9786" hidden="1" x14ac:dyDescent="0.25"/>
    <row r="9787" hidden="1" x14ac:dyDescent="0.25"/>
    <row r="9788" hidden="1" x14ac:dyDescent="0.25"/>
    <row r="9789" hidden="1" x14ac:dyDescent="0.25"/>
    <row r="9790" hidden="1" x14ac:dyDescent="0.25"/>
    <row r="9791" hidden="1" x14ac:dyDescent="0.25"/>
    <row r="9792" hidden="1" x14ac:dyDescent="0.25"/>
    <row r="9793" hidden="1" x14ac:dyDescent="0.25"/>
    <row r="9794" hidden="1" x14ac:dyDescent="0.25"/>
    <row r="9795" hidden="1" x14ac:dyDescent="0.25"/>
    <row r="9796" hidden="1" x14ac:dyDescent="0.25"/>
    <row r="9797" hidden="1" x14ac:dyDescent="0.25"/>
    <row r="9798" hidden="1" x14ac:dyDescent="0.25"/>
    <row r="9799" hidden="1" x14ac:dyDescent="0.25"/>
    <row r="9800" hidden="1" x14ac:dyDescent="0.25"/>
    <row r="9801" hidden="1" x14ac:dyDescent="0.25"/>
    <row r="9802" hidden="1" x14ac:dyDescent="0.25"/>
    <row r="9803" hidden="1" x14ac:dyDescent="0.25"/>
    <row r="9804" hidden="1" x14ac:dyDescent="0.25"/>
    <row r="9805" hidden="1" x14ac:dyDescent="0.25"/>
    <row r="9806" hidden="1" x14ac:dyDescent="0.25"/>
    <row r="9807" hidden="1" x14ac:dyDescent="0.25"/>
    <row r="9808" hidden="1" x14ac:dyDescent="0.25"/>
    <row r="9809" hidden="1" x14ac:dyDescent="0.25"/>
    <row r="9810" hidden="1" x14ac:dyDescent="0.25"/>
    <row r="9811" hidden="1" x14ac:dyDescent="0.25"/>
    <row r="9812" hidden="1" x14ac:dyDescent="0.25"/>
    <row r="9813" hidden="1" x14ac:dyDescent="0.25"/>
    <row r="9814" hidden="1" x14ac:dyDescent="0.25"/>
    <row r="9815" hidden="1" x14ac:dyDescent="0.25"/>
    <row r="9816" hidden="1" x14ac:dyDescent="0.25"/>
    <row r="9817" hidden="1" x14ac:dyDescent="0.25"/>
    <row r="9818" hidden="1" x14ac:dyDescent="0.25"/>
    <row r="9819" hidden="1" x14ac:dyDescent="0.25"/>
    <row r="9820" hidden="1" x14ac:dyDescent="0.25"/>
    <row r="9821" hidden="1" x14ac:dyDescent="0.25"/>
    <row r="9822" hidden="1" x14ac:dyDescent="0.25"/>
    <row r="9823" hidden="1" x14ac:dyDescent="0.25"/>
    <row r="9824" hidden="1" x14ac:dyDescent="0.25"/>
    <row r="9825" hidden="1" x14ac:dyDescent="0.25"/>
    <row r="9826" hidden="1" x14ac:dyDescent="0.25"/>
    <row r="9827" hidden="1" x14ac:dyDescent="0.25"/>
    <row r="9828" hidden="1" x14ac:dyDescent="0.25"/>
    <row r="9829" hidden="1" x14ac:dyDescent="0.25"/>
    <row r="9830" hidden="1" x14ac:dyDescent="0.25"/>
    <row r="9831" hidden="1" x14ac:dyDescent="0.25"/>
    <row r="9832" hidden="1" x14ac:dyDescent="0.25"/>
    <row r="9833" hidden="1" x14ac:dyDescent="0.25"/>
    <row r="9834" hidden="1" x14ac:dyDescent="0.25"/>
    <row r="9835" hidden="1" x14ac:dyDescent="0.25"/>
    <row r="9836" hidden="1" x14ac:dyDescent="0.25"/>
    <row r="9837" hidden="1" x14ac:dyDescent="0.25"/>
    <row r="9838" hidden="1" x14ac:dyDescent="0.25"/>
    <row r="9839" hidden="1" x14ac:dyDescent="0.25"/>
    <row r="9840" hidden="1" x14ac:dyDescent="0.25"/>
    <row r="9841" hidden="1" x14ac:dyDescent="0.25"/>
    <row r="9842" hidden="1" x14ac:dyDescent="0.25"/>
    <row r="9843" hidden="1" x14ac:dyDescent="0.25"/>
    <row r="9844" hidden="1" x14ac:dyDescent="0.25"/>
    <row r="9845" hidden="1" x14ac:dyDescent="0.25"/>
    <row r="9846" hidden="1" x14ac:dyDescent="0.25"/>
    <row r="9847" hidden="1" x14ac:dyDescent="0.25"/>
    <row r="9848" hidden="1" x14ac:dyDescent="0.25"/>
    <row r="9849" hidden="1" x14ac:dyDescent="0.25"/>
    <row r="9850" hidden="1" x14ac:dyDescent="0.25"/>
    <row r="9851" hidden="1" x14ac:dyDescent="0.25"/>
    <row r="9852" hidden="1" x14ac:dyDescent="0.25"/>
    <row r="9853" hidden="1" x14ac:dyDescent="0.25"/>
    <row r="9854" hidden="1" x14ac:dyDescent="0.25"/>
    <row r="9855" hidden="1" x14ac:dyDescent="0.25"/>
    <row r="9856" hidden="1" x14ac:dyDescent="0.25"/>
    <row r="9857" hidden="1" x14ac:dyDescent="0.25"/>
    <row r="9858" hidden="1" x14ac:dyDescent="0.25"/>
    <row r="9859" hidden="1" x14ac:dyDescent="0.25"/>
    <row r="9860" hidden="1" x14ac:dyDescent="0.25"/>
    <row r="9861" hidden="1" x14ac:dyDescent="0.25"/>
    <row r="9862" hidden="1" x14ac:dyDescent="0.25"/>
    <row r="9863" hidden="1" x14ac:dyDescent="0.25"/>
    <row r="9864" hidden="1" x14ac:dyDescent="0.25"/>
    <row r="9865" hidden="1" x14ac:dyDescent="0.25"/>
    <row r="9866" hidden="1" x14ac:dyDescent="0.25"/>
    <row r="9867" hidden="1" x14ac:dyDescent="0.25"/>
    <row r="9868" hidden="1" x14ac:dyDescent="0.25"/>
    <row r="9869" hidden="1" x14ac:dyDescent="0.25"/>
    <row r="9870" hidden="1" x14ac:dyDescent="0.25"/>
    <row r="9871" hidden="1" x14ac:dyDescent="0.25"/>
    <row r="9872" hidden="1" x14ac:dyDescent="0.25"/>
    <row r="9873" hidden="1" x14ac:dyDescent="0.25"/>
    <row r="9874" hidden="1" x14ac:dyDescent="0.25"/>
    <row r="9875" hidden="1" x14ac:dyDescent="0.25"/>
    <row r="9876" hidden="1" x14ac:dyDescent="0.25"/>
    <row r="9877" hidden="1" x14ac:dyDescent="0.25"/>
    <row r="9878" hidden="1" x14ac:dyDescent="0.25"/>
    <row r="9879" hidden="1" x14ac:dyDescent="0.25"/>
    <row r="9880" hidden="1" x14ac:dyDescent="0.25"/>
    <row r="9881" hidden="1" x14ac:dyDescent="0.25"/>
    <row r="9882" hidden="1" x14ac:dyDescent="0.25"/>
    <row r="9883" hidden="1" x14ac:dyDescent="0.25"/>
    <row r="9884" hidden="1" x14ac:dyDescent="0.25"/>
    <row r="9885" hidden="1" x14ac:dyDescent="0.25"/>
    <row r="9886" hidden="1" x14ac:dyDescent="0.25"/>
    <row r="9887" hidden="1" x14ac:dyDescent="0.25"/>
    <row r="9888" hidden="1" x14ac:dyDescent="0.25"/>
    <row r="9889" hidden="1" x14ac:dyDescent="0.25"/>
    <row r="9890" hidden="1" x14ac:dyDescent="0.25"/>
    <row r="9891" hidden="1" x14ac:dyDescent="0.25"/>
    <row r="9892" hidden="1" x14ac:dyDescent="0.25"/>
    <row r="9893" hidden="1" x14ac:dyDescent="0.25"/>
    <row r="9894" hidden="1" x14ac:dyDescent="0.25"/>
    <row r="9895" hidden="1" x14ac:dyDescent="0.25"/>
    <row r="9896" hidden="1" x14ac:dyDescent="0.25"/>
    <row r="9897" hidden="1" x14ac:dyDescent="0.25"/>
    <row r="9898" hidden="1" x14ac:dyDescent="0.25"/>
    <row r="9899" hidden="1" x14ac:dyDescent="0.25"/>
    <row r="9900" hidden="1" x14ac:dyDescent="0.25"/>
    <row r="9901" hidden="1" x14ac:dyDescent="0.25"/>
    <row r="9902" hidden="1" x14ac:dyDescent="0.25"/>
    <row r="9903" hidden="1" x14ac:dyDescent="0.25"/>
    <row r="9904" hidden="1" x14ac:dyDescent="0.25"/>
    <row r="9905" hidden="1" x14ac:dyDescent="0.25"/>
    <row r="9906" hidden="1" x14ac:dyDescent="0.25"/>
    <row r="9907" hidden="1" x14ac:dyDescent="0.25"/>
    <row r="9908" hidden="1" x14ac:dyDescent="0.25"/>
    <row r="9909" hidden="1" x14ac:dyDescent="0.25"/>
    <row r="9910" hidden="1" x14ac:dyDescent="0.25"/>
    <row r="9911" hidden="1" x14ac:dyDescent="0.25"/>
    <row r="9912" hidden="1" x14ac:dyDescent="0.25"/>
    <row r="9913" hidden="1" x14ac:dyDescent="0.25"/>
    <row r="9914" hidden="1" x14ac:dyDescent="0.25"/>
    <row r="9915" hidden="1" x14ac:dyDescent="0.25"/>
    <row r="9916" hidden="1" x14ac:dyDescent="0.25"/>
    <row r="9917" hidden="1" x14ac:dyDescent="0.25"/>
    <row r="9918" hidden="1" x14ac:dyDescent="0.25"/>
    <row r="9919" hidden="1" x14ac:dyDescent="0.25"/>
    <row r="9920" hidden="1" x14ac:dyDescent="0.25"/>
    <row r="9921" hidden="1" x14ac:dyDescent="0.25"/>
    <row r="9922" hidden="1" x14ac:dyDescent="0.25"/>
    <row r="9923" hidden="1" x14ac:dyDescent="0.25"/>
    <row r="9924" hidden="1" x14ac:dyDescent="0.25"/>
    <row r="9925" hidden="1" x14ac:dyDescent="0.25"/>
    <row r="9926" hidden="1" x14ac:dyDescent="0.25"/>
    <row r="9927" hidden="1" x14ac:dyDescent="0.25"/>
    <row r="9928" hidden="1" x14ac:dyDescent="0.25"/>
    <row r="9929" hidden="1" x14ac:dyDescent="0.25"/>
    <row r="9930" hidden="1" x14ac:dyDescent="0.25"/>
    <row r="9931" hidden="1" x14ac:dyDescent="0.25"/>
    <row r="9932" hidden="1" x14ac:dyDescent="0.25"/>
    <row r="9933" hidden="1" x14ac:dyDescent="0.25"/>
    <row r="9934" hidden="1" x14ac:dyDescent="0.25"/>
    <row r="9935" hidden="1" x14ac:dyDescent="0.25"/>
    <row r="9936" hidden="1" x14ac:dyDescent="0.25"/>
    <row r="9937" hidden="1" x14ac:dyDescent="0.25"/>
    <row r="9938" hidden="1" x14ac:dyDescent="0.25"/>
    <row r="9939" hidden="1" x14ac:dyDescent="0.25"/>
    <row r="9940" hidden="1" x14ac:dyDescent="0.25"/>
    <row r="9941" hidden="1" x14ac:dyDescent="0.25"/>
    <row r="9942" hidden="1" x14ac:dyDescent="0.25"/>
    <row r="9943" hidden="1" x14ac:dyDescent="0.25"/>
    <row r="9944" hidden="1" x14ac:dyDescent="0.25"/>
    <row r="9945" hidden="1" x14ac:dyDescent="0.25"/>
    <row r="9946" hidden="1" x14ac:dyDescent="0.25"/>
    <row r="9947" hidden="1" x14ac:dyDescent="0.25"/>
    <row r="9948" hidden="1" x14ac:dyDescent="0.25"/>
    <row r="9949" hidden="1" x14ac:dyDescent="0.25"/>
    <row r="9950" hidden="1" x14ac:dyDescent="0.25"/>
    <row r="9951" hidden="1" x14ac:dyDescent="0.25"/>
    <row r="9952" hidden="1" x14ac:dyDescent="0.25"/>
    <row r="9953" hidden="1" x14ac:dyDescent="0.25"/>
    <row r="9954" hidden="1" x14ac:dyDescent="0.25"/>
    <row r="9955" hidden="1" x14ac:dyDescent="0.25"/>
    <row r="9956" hidden="1" x14ac:dyDescent="0.25"/>
    <row r="9957" hidden="1" x14ac:dyDescent="0.25"/>
    <row r="9958" hidden="1" x14ac:dyDescent="0.25"/>
    <row r="9959" hidden="1" x14ac:dyDescent="0.25"/>
    <row r="9960" hidden="1" x14ac:dyDescent="0.25"/>
    <row r="9961" hidden="1" x14ac:dyDescent="0.25"/>
    <row r="9962" hidden="1" x14ac:dyDescent="0.25"/>
    <row r="9963" hidden="1" x14ac:dyDescent="0.25"/>
    <row r="9964" hidden="1" x14ac:dyDescent="0.25"/>
    <row r="9965" hidden="1" x14ac:dyDescent="0.25"/>
    <row r="9966" hidden="1" x14ac:dyDescent="0.25"/>
    <row r="9967" hidden="1" x14ac:dyDescent="0.25"/>
    <row r="9968" hidden="1" x14ac:dyDescent="0.25"/>
    <row r="9969" hidden="1" x14ac:dyDescent="0.25"/>
    <row r="9970" hidden="1" x14ac:dyDescent="0.25"/>
    <row r="9971" hidden="1" x14ac:dyDescent="0.25"/>
    <row r="9972" hidden="1" x14ac:dyDescent="0.25"/>
    <row r="9973" hidden="1" x14ac:dyDescent="0.25"/>
    <row r="9974" hidden="1" x14ac:dyDescent="0.25"/>
    <row r="9975" hidden="1" x14ac:dyDescent="0.25"/>
    <row r="9976" hidden="1" x14ac:dyDescent="0.25"/>
    <row r="9977" hidden="1" x14ac:dyDescent="0.25"/>
    <row r="9978" hidden="1" x14ac:dyDescent="0.25"/>
    <row r="9979" hidden="1" x14ac:dyDescent="0.25"/>
    <row r="9980" hidden="1" x14ac:dyDescent="0.25"/>
    <row r="9981" hidden="1" x14ac:dyDescent="0.25"/>
    <row r="9982" hidden="1" x14ac:dyDescent="0.25"/>
    <row r="9983" hidden="1" x14ac:dyDescent="0.25"/>
    <row r="9984" hidden="1" x14ac:dyDescent="0.25"/>
    <row r="9985" hidden="1" x14ac:dyDescent="0.25"/>
    <row r="9986" hidden="1" x14ac:dyDescent="0.25"/>
    <row r="9987" hidden="1" x14ac:dyDescent="0.25"/>
    <row r="9988" hidden="1" x14ac:dyDescent="0.25"/>
    <row r="9989" hidden="1" x14ac:dyDescent="0.25"/>
    <row r="9990" hidden="1" x14ac:dyDescent="0.25"/>
    <row r="9991" hidden="1" x14ac:dyDescent="0.25"/>
    <row r="9992" hidden="1" x14ac:dyDescent="0.25"/>
    <row r="9993" hidden="1" x14ac:dyDescent="0.25"/>
    <row r="9994" hidden="1" x14ac:dyDescent="0.25"/>
    <row r="9995" hidden="1" x14ac:dyDescent="0.25"/>
    <row r="9996" hidden="1" x14ac:dyDescent="0.25"/>
    <row r="9997" hidden="1" x14ac:dyDescent="0.25"/>
    <row r="9998" hidden="1" x14ac:dyDescent="0.25"/>
    <row r="9999" hidden="1" x14ac:dyDescent="0.25"/>
    <row r="10000" hidden="1" x14ac:dyDescent="0.25"/>
    <row r="10001" hidden="1" x14ac:dyDescent="0.25"/>
    <row r="10002" hidden="1" x14ac:dyDescent="0.25"/>
    <row r="10003" hidden="1" x14ac:dyDescent="0.25"/>
    <row r="10004" hidden="1" x14ac:dyDescent="0.25"/>
    <row r="10005" hidden="1" x14ac:dyDescent="0.25"/>
    <row r="10006" hidden="1" x14ac:dyDescent="0.25"/>
    <row r="10007" hidden="1" x14ac:dyDescent="0.25"/>
    <row r="10008" hidden="1" x14ac:dyDescent="0.25"/>
    <row r="10009" hidden="1" x14ac:dyDescent="0.25"/>
    <row r="10010" hidden="1" x14ac:dyDescent="0.25"/>
    <row r="10011" hidden="1" x14ac:dyDescent="0.25"/>
    <row r="10012" hidden="1" x14ac:dyDescent="0.25"/>
    <row r="10013" hidden="1" x14ac:dyDescent="0.25"/>
    <row r="10014" hidden="1" x14ac:dyDescent="0.25"/>
    <row r="10015" hidden="1" x14ac:dyDescent="0.25"/>
    <row r="10016" hidden="1" x14ac:dyDescent="0.25"/>
    <row r="10017" hidden="1" x14ac:dyDescent="0.25"/>
    <row r="10018" hidden="1" x14ac:dyDescent="0.25"/>
    <row r="10019" hidden="1" x14ac:dyDescent="0.25"/>
    <row r="10020" hidden="1" x14ac:dyDescent="0.25"/>
    <row r="10021" hidden="1" x14ac:dyDescent="0.25"/>
    <row r="10022" hidden="1" x14ac:dyDescent="0.25"/>
    <row r="10023" hidden="1" x14ac:dyDescent="0.25"/>
    <row r="10024" hidden="1" x14ac:dyDescent="0.25"/>
    <row r="10025" hidden="1" x14ac:dyDescent="0.25"/>
    <row r="10026" hidden="1" x14ac:dyDescent="0.25"/>
    <row r="10027" hidden="1" x14ac:dyDescent="0.25"/>
    <row r="10028" hidden="1" x14ac:dyDescent="0.25"/>
    <row r="10029" hidden="1" x14ac:dyDescent="0.25"/>
    <row r="10030" hidden="1" x14ac:dyDescent="0.25"/>
    <row r="10031" hidden="1" x14ac:dyDescent="0.25"/>
    <row r="10032" hidden="1" x14ac:dyDescent="0.25"/>
    <row r="10033" hidden="1" x14ac:dyDescent="0.25"/>
    <row r="10034" hidden="1" x14ac:dyDescent="0.25"/>
    <row r="10035" hidden="1" x14ac:dyDescent="0.25"/>
    <row r="10036" hidden="1" x14ac:dyDescent="0.25"/>
    <row r="10037" hidden="1" x14ac:dyDescent="0.25"/>
    <row r="10038" hidden="1" x14ac:dyDescent="0.25"/>
    <row r="10039" hidden="1" x14ac:dyDescent="0.25"/>
    <row r="10040" hidden="1" x14ac:dyDescent="0.25"/>
    <row r="10041" hidden="1" x14ac:dyDescent="0.25"/>
    <row r="10042" hidden="1" x14ac:dyDescent="0.25"/>
    <row r="10043" hidden="1" x14ac:dyDescent="0.25"/>
    <row r="10044" hidden="1" x14ac:dyDescent="0.25"/>
    <row r="10045" hidden="1" x14ac:dyDescent="0.25"/>
    <row r="10046" hidden="1" x14ac:dyDescent="0.25"/>
    <row r="10047" hidden="1" x14ac:dyDescent="0.25"/>
    <row r="10048" hidden="1" x14ac:dyDescent="0.25"/>
    <row r="10049" hidden="1" x14ac:dyDescent="0.25"/>
    <row r="10050" hidden="1" x14ac:dyDescent="0.25"/>
    <row r="10051" hidden="1" x14ac:dyDescent="0.25"/>
    <row r="10052" hidden="1" x14ac:dyDescent="0.25"/>
    <row r="10053" hidden="1" x14ac:dyDescent="0.25"/>
    <row r="10054" hidden="1" x14ac:dyDescent="0.25"/>
    <row r="10055" hidden="1" x14ac:dyDescent="0.25"/>
    <row r="10056" hidden="1" x14ac:dyDescent="0.25"/>
    <row r="10057" hidden="1" x14ac:dyDescent="0.25"/>
    <row r="10058" hidden="1" x14ac:dyDescent="0.25"/>
    <row r="10059" hidden="1" x14ac:dyDescent="0.25"/>
    <row r="10060" hidden="1" x14ac:dyDescent="0.25"/>
    <row r="10061" hidden="1" x14ac:dyDescent="0.25"/>
    <row r="10062" hidden="1" x14ac:dyDescent="0.25"/>
    <row r="10063" hidden="1" x14ac:dyDescent="0.25"/>
    <row r="10064" hidden="1" x14ac:dyDescent="0.25"/>
    <row r="10065" hidden="1" x14ac:dyDescent="0.25"/>
    <row r="10066" hidden="1" x14ac:dyDescent="0.25"/>
    <row r="10067" hidden="1" x14ac:dyDescent="0.25"/>
    <row r="10068" hidden="1" x14ac:dyDescent="0.25"/>
    <row r="10069" hidden="1" x14ac:dyDescent="0.25"/>
    <row r="10070" hidden="1" x14ac:dyDescent="0.25"/>
    <row r="10071" hidden="1" x14ac:dyDescent="0.25"/>
    <row r="10072" hidden="1" x14ac:dyDescent="0.25"/>
    <row r="10073" hidden="1" x14ac:dyDescent="0.25"/>
    <row r="10074" hidden="1" x14ac:dyDescent="0.25"/>
    <row r="10075" hidden="1" x14ac:dyDescent="0.25"/>
    <row r="10076" hidden="1" x14ac:dyDescent="0.25"/>
    <row r="10077" hidden="1" x14ac:dyDescent="0.25"/>
    <row r="10078" hidden="1" x14ac:dyDescent="0.25"/>
    <row r="10079" hidden="1" x14ac:dyDescent="0.25"/>
    <row r="10080" hidden="1" x14ac:dyDescent="0.25"/>
    <row r="10081" hidden="1" x14ac:dyDescent="0.25"/>
    <row r="10082" hidden="1" x14ac:dyDescent="0.25"/>
    <row r="10083" hidden="1" x14ac:dyDescent="0.25"/>
    <row r="10084" hidden="1" x14ac:dyDescent="0.25"/>
    <row r="10085" hidden="1" x14ac:dyDescent="0.25"/>
    <row r="10086" hidden="1" x14ac:dyDescent="0.25"/>
    <row r="10087" hidden="1" x14ac:dyDescent="0.25"/>
    <row r="10088" hidden="1" x14ac:dyDescent="0.25"/>
    <row r="10089" hidden="1" x14ac:dyDescent="0.25"/>
    <row r="10090" hidden="1" x14ac:dyDescent="0.25"/>
    <row r="10091" hidden="1" x14ac:dyDescent="0.25"/>
    <row r="10092" hidden="1" x14ac:dyDescent="0.25"/>
    <row r="10093" hidden="1" x14ac:dyDescent="0.25"/>
    <row r="10094" hidden="1" x14ac:dyDescent="0.25"/>
    <row r="10095" hidden="1" x14ac:dyDescent="0.25"/>
    <row r="10096" hidden="1" x14ac:dyDescent="0.25"/>
    <row r="10097" hidden="1" x14ac:dyDescent="0.25"/>
    <row r="10098" hidden="1" x14ac:dyDescent="0.25"/>
    <row r="10099" hidden="1" x14ac:dyDescent="0.25"/>
    <row r="10100" hidden="1" x14ac:dyDescent="0.25"/>
    <row r="10101" hidden="1" x14ac:dyDescent="0.25"/>
    <row r="10102" hidden="1" x14ac:dyDescent="0.25"/>
    <row r="10103" hidden="1" x14ac:dyDescent="0.25"/>
    <row r="10104" hidden="1" x14ac:dyDescent="0.25"/>
    <row r="10105" hidden="1" x14ac:dyDescent="0.25"/>
    <row r="10106" hidden="1" x14ac:dyDescent="0.25"/>
    <row r="10107" hidden="1" x14ac:dyDescent="0.25"/>
    <row r="10108" hidden="1" x14ac:dyDescent="0.25"/>
    <row r="10109" hidden="1" x14ac:dyDescent="0.25"/>
    <row r="10110" hidden="1" x14ac:dyDescent="0.25"/>
    <row r="10111" hidden="1" x14ac:dyDescent="0.25"/>
    <row r="10112" hidden="1" x14ac:dyDescent="0.25"/>
    <row r="10113" hidden="1" x14ac:dyDescent="0.25"/>
    <row r="10114" hidden="1" x14ac:dyDescent="0.25"/>
    <row r="10115" hidden="1" x14ac:dyDescent="0.25"/>
    <row r="10116" hidden="1" x14ac:dyDescent="0.25"/>
    <row r="10117" hidden="1" x14ac:dyDescent="0.25"/>
    <row r="10118" hidden="1" x14ac:dyDescent="0.25"/>
    <row r="10119" hidden="1" x14ac:dyDescent="0.25"/>
    <row r="10120" hidden="1" x14ac:dyDescent="0.25"/>
    <row r="10121" hidden="1" x14ac:dyDescent="0.25"/>
    <row r="10122" hidden="1" x14ac:dyDescent="0.25"/>
    <row r="10123" hidden="1" x14ac:dyDescent="0.25"/>
    <row r="10124" hidden="1" x14ac:dyDescent="0.25"/>
    <row r="10125" hidden="1" x14ac:dyDescent="0.25"/>
    <row r="10126" hidden="1" x14ac:dyDescent="0.25"/>
    <row r="10127" hidden="1" x14ac:dyDescent="0.25"/>
    <row r="10128" hidden="1" x14ac:dyDescent="0.25"/>
    <row r="10129" hidden="1" x14ac:dyDescent="0.25"/>
    <row r="10130" hidden="1" x14ac:dyDescent="0.25"/>
    <row r="10131" hidden="1" x14ac:dyDescent="0.25"/>
    <row r="10132" hidden="1" x14ac:dyDescent="0.25"/>
    <row r="10133" hidden="1" x14ac:dyDescent="0.25"/>
    <row r="10134" hidden="1" x14ac:dyDescent="0.25"/>
    <row r="10135" hidden="1" x14ac:dyDescent="0.25"/>
    <row r="10136" hidden="1" x14ac:dyDescent="0.25"/>
    <row r="10137" hidden="1" x14ac:dyDescent="0.25"/>
    <row r="10138" hidden="1" x14ac:dyDescent="0.25"/>
    <row r="10139" hidden="1" x14ac:dyDescent="0.25"/>
    <row r="10140" hidden="1" x14ac:dyDescent="0.25"/>
    <row r="10141" hidden="1" x14ac:dyDescent="0.25"/>
    <row r="10142" hidden="1" x14ac:dyDescent="0.25"/>
    <row r="10143" hidden="1" x14ac:dyDescent="0.25"/>
    <row r="10144" hidden="1" x14ac:dyDescent="0.25"/>
    <row r="10145" hidden="1" x14ac:dyDescent="0.25"/>
    <row r="10146" hidden="1" x14ac:dyDescent="0.25"/>
    <row r="10147" hidden="1" x14ac:dyDescent="0.25"/>
    <row r="10148" hidden="1" x14ac:dyDescent="0.25"/>
    <row r="10149" hidden="1" x14ac:dyDescent="0.25"/>
    <row r="10150" hidden="1" x14ac:dyDescent="0.25"/>
    <row r="10151" hidden="1" x14ac:dyDescent="0.25"/>
    <row r="10152" hidden="1" x14ac:dyDescent="0.25"/>
    <row r="10153" hidden="1" x14ac:dyDescent="0.25"/>
    <row r="10154" hidden="1" x14ac:dyDescent="0.25"/>
    <row r="10155" hidden="1" x14ac:dyDescent="0.25"/>
    <row r="10156" hidden="1" x14ac:dyDescent="0.25"/>
    <row r="10157" hidden="1" x14ac:dyDescent="0.25"/>
    <row r="10158" hidden="1" x14ac:dyDescent="0.25"/>
    <row r="10159" hidden="1" x14ac:dyDescent="0.25"/>
    <row r="10160" hidden="1" x14ac:dyDescent="0.25"/>
    <row r="10161" hidden="1" x14ac:dyDescent="0.25"/>
    <row r="10162" hidden="1" x14ac:dyDescent="0.25"/>
    <row r="10163" hidden="1" x14ac:dyDescent="0.25"/>
    <row r="10164" hidden="1" x14ac:dyDescent="0.25"/>
    <row r="10165" hidden="1" x14ac:dyDescent="0.25"/>
    <row r="10166" hidden="1" x14ac:dyDescent="0.25"/>
    <row r="10167" hidden="1" x14ac:dyDescent="0.25"/>
    <row r="10168" hidden="1" x14ac:dyDescent="0.25"/>
    <row r="10169" hidden="1" x14ac:dyDescent="0.25"/>
    <row r="10170" hidden="1" x14ac:dyDescent="0.25"/>
    <row r="10171" hidden="1" x14ac:dyDescent="0.25"/>
    <row r="10172" hidden="1" x14ac:dyDescent="0.25"/>
    <row r="10173" hidden="1" x14ac:dyDescent="0.25"/>
    <row r="10174" hidden="1" x14ac:dyDescent="0.25"/>
    <row r="10175" hidden="1" x14ac:dyDescent="0.25"/>
    <row r="10176" hidden="1" x14ac:dyDescent="0.25"/>
    <row r="10177" hidden="1" x14ac:dyDescent="0.25"/>
    <row r="10178" hidden="1" x14ac:dyDescent="0.25"/>
    <row r="10179" hidden="1" x14ac:dyDescent="0.25"/>
    <row r="10180" hidden="1" x14ac:dyDescent="0.25"/>
    <row r="10181" hidden="1" x14ac:dyDescent="0.25"/>
    <row r="10182" hidden="1" x14ac:dyDescent="0.25"/>
    <row r="10183" hidden="1" x14ac:dyDescent="0.25"/>
    <row r="10184" hidden="1" x14ac:dyDescent="0.25"/>
    <row r="10185" hidden="1" x14ac:dyDescent="0.25"/>
    <row r="10186" hidden="1" x14ac:dyDescent="0.25"/>
    <row r="10187" hidden="1" x14ac:dyDescent="0.25"/>
    <row r="10188" hidden="1" x14ac:dyDescent="0.25"/>
    <row r="10189" hidden="1" x14ac:dyDescent="0.25"/>
    <row r="10190" hidden="1" x14ac:dyDescent="0.25"/>
    <row r="10191" hidden="1" x14ac:dyDescent="0.25"/>
    <row r="10192" hidden="1" x14ac:dyDescent="0.25"/>
    <row r="10193" hidden="1" x14ac:dyDescent="0.25"/>
    <row r="10194" hidden="1" x14ac:dyDescent="0.25"/>
    <row r="10195" hidden="1" x14ac:dyDescent="0.25"/>
    <row r="10196" hidden="1" x14ac:dyDescent="0.25"/>
    <row r="10197" hidden="1" x14ac:dyDescent="0.25"/>
    <row r="10198" hidden="1" x14ac:dyDescent="0.25"/>
    <row r="10199" hidden="1" x14ac:dyDescent="0.25"/>
    <row r="10200" hidden="1" x14ac:dyDescent="0.25"/>
    <row r="10201" hidden="1" x14ac:dyDescent="0.25"/>
    <row r="10202" hidden="1" x14ac:dyDescent="0.25"/>
    <row r="10203" hidden="1" x14ac:dyDescent="0.25"/>
    <row r="10204" hidden="1" x14ac:dyDescent="0.25"/>
    <row r="10205" hidden="1" x14ac:dyDescent="0.25"/>
    <row r="10206" hidden="1" x14ac:dyDescent="0.25"/>
    <row r="10207" hidden="1" x14ac:dyDescent="0.25"/>
    <row r="10208" hidden="1" x14ac:dyDescent="0.25"/>
    <row r="10209" hidden="1" x14ac:dyDescent="0.25"/>
    <row r="10210" hidden="1" x14ac:dyDescent="0.25"/>
    <row r="10211" hidden="1" x14ac:dyDescent="0.25"/>
    <row r="10212" hidden="1" x14ac:dyDescent="0.25"/>
    <row r="10213" hidden="1" x14ac:dyDescent="0.25"/>
    <row r="10214" hidden="1" x14ac:dyDescent="0.25"/>
    <row r="10215" hidden="1" x14ac:dyDescent="0.25"/>
    <row r="10216" hidden="1" x14ac:dyDescent="0.25"/>
    <row r="10217" hidden="1" x14ac:dyDescent="0.25"/>
    <row r="10218" hidden="1" x14ac:dyDescent="0.25"/>
    <row r="10219" hidden="1" x14ac:dyDescent="0.25"/>
    <row r="10220" hidden="1" x14ac:dyDescent="0.25"/>
    <row r="10221" hidden="1" x14ac:dyDescent="0.25"/>
    <row r="10222" hidden="1" x14ac:dyDescent="0.25"/>
    <row r="10223" hidden="1" x14ac:dyDescent="0.25"/>
    <row r="10224" hidden="1" x14ac:dyDescent="0.25"/>
    <row r="10225" hidden="1" x14ac:dyDescent="0.25"/>
    <row r="10226" hidden="1" x14ac:dyDescent="0.25"/>
    <row r="10227" hidden="1" x14ac:dyDescent="0.25"/>
    <row r="10228" hidden="1" x14ac:dyDescent="0.25"/>
    <row r="10229" hidden="1" x14ac:dyDescent="0.25"/>
    <row r="10230" hidden="1" x14ac:dyDescent="0.25"/>
    <row r="10231" hidden="1" x14ac:dyDescent="0.25"/>
    <row r="10232" hidden="1" x14ac:dyDescent="0.25"/>
    <row r="10233" hidden="1" x14ac:dyDescent="0.25"/>
    <row r="10234" hidden="1" x14ac:dyDescent="0.25"/>
    <row r="10235" hidden="1" x14ac:dyDescent="0.25"/>
    <row r="10236" hidden="1" x14ac:dyDescent="0.25"/>
    <row r="10237" hidden="1" x14ac:dyDescent="0.25"/>
    <row r="10238" hidden="1" x14ac:dyDescent="0.25"/>
    <row r="10239" hidden="1" x14ac:dyDescent="0.25"/>
    <row r="10240" hidden="1" x14ac:dyDescent="0.25"/>
    <row r="10241" hidden="1" x14ac:dyDescent="0.25"/>
    <row r="10242" hidden="1" x14ac:dyDescent="0.25"/>
    <row r="10243" hidden="1" x14ac:dyDescent="0.25"/>
    <row r="10244" hidden="1" x14ac:dyDescent="0.25"/>
    <row r="10245" hidden="1" x14ac:dyDescent="0.25"/>
    <row r="10246" hidden="1" x14ac:dyDescent="0.25"/>
    <row r="10247" hidden="1" x14ac:dyDescent="0.25"/>
    <row r="10248" hidden="1" x14ac:dyDescent="0.25"/>
    <row r="10249" hidden="1" x14ac:dyDescent="0.25"/>
    <row r="10250" hidden="1" x14ac:dyDescent="0.25"/>
    <row r="10251" hidden="1" x14ac:dyDescent="0.25"/>
    <row r="10252" hidden="1" x14ac:dyDescent="0.25"/>
    <row r="10253" hidden="1" x14ac:dyDescent="0.25"/>
    <row r="10254" hidden="1" x14ac:dyDescent="0.25"/>
    <row r="10255" hidden="1" x14ac:dyDescent="0.25"/>
    <row r="10256" hidden="1" x14ac:dyDescent="0.25"/>
    <row r="10257" hidden="1" x14ac:dyDescent="0.25"/>
    <row r="10258" hidden="1" x14ac:dyDescent="0.25"/>
    <row r="10259" hidden="1" x14ac:dyDescent="0.25"/>
    <row r="10260" hidden="1" x14ac:dyDescent="0.25"/>
    <row r="10261" hidden="1" x14ac:dyDescent="0.25"/>
    <row r="10262" hidden="1" x14ac:dyDescent="0.25"/>
    <row r="10263" hidden="1" x14ac:dyDescent="0.25"/>
    <row r="10264" hidden="1" x14ac:dyDescent="0.25"/>
    <row r="10265" hidden="1" x14ac:dyDescent="0.25"/>
    <row r="10266" hidden="1" x14ac:dyDescent="0.25"/>
    <row r="10267" hidden="1" x14ac:dyDescent="0.25"/>
    <row r="10268" hidden="1" x14ac:dyDescent="0.25"/>
    <row r="10269" hidden="1" x14ac:dyDescent="0.25"/>
    <row r="10270" hidden="1" x14ac:dyDescent="0.25"/>
    <row r="10271" hidden="1" x14ac:dyDescent="0.25"/>
    <row r="10272" hidden="1" x14ac:dyDescent="0.25"/>
    <row r="10273" hidden="1" x14ac:dyDescent="0.25"/>
    <row r="10274" hidden="1" x14ac:dyDescent="0.25"/>
    <row r="10275" hidden="1" x14ac:dyDescent="0.25"/>
    <row r="10276" hidden="1" x14ac:dyDescent="0.25"/>
    <row r="10277" hidden="1" x14ac:dyDescent="0.25"/>
    <row r="10278" hidden="1" x14ac:dyDescent="0.25"/>
    <row r="10279" hidden="1" x14ac:dyDescent="0.25"/>
    <row r="10280" hidden="1" x14ac:dyDescent="0.25"/>
    <row r="10281" hidden="1" x14ac:dyDescent="0.25"/>
    <row r="10282" hidden="1" x14ac:dyDescent="0.25"/>
    <row r="10283" hidden="1" x14ac:dyDescent="0.25"/>
    <row r="10284" hidden="1" x14ac:dyDescent="0.25"/>
    <row r="10285" hidden="1" x14ac:dyDescent="0.25"/>
    <row r="10286" hidden="1" x14ac:dyDescent="0.25"/>
    <row r="10287" hidden="1" x14ac:dyDescent="0.25"/>
    <row r="10288" hidden="1" x14ac:dyDescent="0.25"/>
    <row r="10289" hidden="1" x14ac:dyDescent="0.25"/>
    <row r="10290" hidden="1" x14ac:dyDescent="0.25"/>
    <row r="10291" hidden="1" x14ac:dyDescent="0.25"/>
    <row r="10292" hidden="1" x14ac:dyDescent="0.25"/>
    <row r="10293" hidden="1" x14ac:dyDescent="0.25"/>
    <row r="10294" hidden="1" x14ac:dyDescent="0.25"/>
    <row r="10295" hidden="1" x14ac:dyDescent="0.25"/>
    <row r="10296" hidden="1" x14ac:dyDescent="0.25"/>
    <row r="10297" hidden="1" x14ac:dyDescent="0.25"/>
    <row r="10298" hidden="1" x14ac:dyDescent="0.25"/>
    <row r="10299" hidden="1" x14ac:dyDescent="0.25"/>
    <row r="10300" hidden="1" x14ac:dyDescent="0.25"/>
    <row r="10301" hidden="1" x14ac:dyDescent="0.25"/>
    <row r="10302" hidden="1" x14ac:dyDescent="0.25"/>
    <row r="10303" hidden="1" x14ac:dyDescent="0.25"/>
    <row r="10304" hidden="1" x14ac:dyDescent="0.25"/>
    <row r="10305" hidden="1" x14ac:dyDescent="0.25"/>
    <row r="10306" hidden="1" x14ac:dyDescent="0.25"/>
    <row r="10307" hidden="1" x14ac:dyDescent="0.25"/>
    <row r="10308" hidden="1" x14ac:dyDescent="0.25"/>
    <row r="10309" hidden="1" x14ac:dyDescent="0.25"/>
    <row r="10310" hidden="1" x14ac:dyDescent="0.25"/>
    <row r="10311" hidden="1" x14ac:dyDescent="0.25"/>
    <row r="10312" hidden="1" x14ac:dyDescent="0.25"/>
    <row r="10313" hidden="1" x14ac:dyDescent="0.25"/>
    <row r="10314" hidden="1" x14ac:dyDescent="0.25"/>
    <row r="10315" hidden="1" x14ac:dyDescent="0.25"/>
    <row r="10316" hidden="1" x14ac:dyDescent="0.25"/>
    <row r="10317" hidden="1" x14ac:dyDescent="0.25"/>
    <row r="10318" hidden="1" x14ac:dyDescent="0.25"/>
    <row r="10319" hidden="1" x14ac:dyDescent="0.25"/>
    <row r="10320" hidden="1" x14ac:dyDescent="0.25"/>
    <row r="10321" hidden="1" x14ac:dyDescent="0.25"/>
    <row r="10322" hidden="1" x14ac:dyDescent="0.25"/>
    <row r="10323" hidden="1" x14ac:dyDescent="0.25"/>
    <row r="10324" hidden="1" x14ac:dyDescent="0.25"/>
    <row r="10325" hidden="1" x14ac:dyDescent="0.25"/>
    <row r="10326" hidden="1" x14ac:dyDescent="0.25"/>
    <row r="10327" hidden="1" x14ac:dyDescent="0.25"/>
    <row r="10328" hidden="1" x14ac:dyDescent="0.25"/>
    <row r="10329" hidden="1" x14ac:dyDescent="0.25"/>
    <row r="10330" hidden="1" x14ac:dyDescent="0.25"/>
    <row r="10331" hidden="1" x14ac:dyDescent="0.25"/>
    <row r="10332" hidden="1" x14ac:dyDescent="0.25"/>
    <row r="10333" hidden="1" x14ac:dyDescent="0.25"/>
    <row r="10334" hidden="1" x14ac:dyDescent="0.25"/>
    <row r="10335" hidden="1" x14ac:dyDescent="0.25"/>
    <row r="10336" hidden="1" x14ac:dyDescent="0.25"/>
    <row r="10337" hidden="1" x14ac:dyDescent="0.25"/>
    <row r="10338" hidden="1" x14ac:dyDescent="0.25"/>
    <row r="10339" hidden="1" x14ac:dyDescent="0.25"/>
    <row r="10340" hidden="1" x14ac:dyDescent="0.25"/>
    <row r="10341" hidden="1" x14ac:dyDescent="0.25"/>
    <row r="10342" hidden="1" x14ac:dyDescent="0.25"/>
    <row r="10343" hidden="1" x14ac:dyDescent="0.25"/>
    <row r="10344" hidden="1" x14ac:dyDescent="0.25"/>
    <row r="10345" hidden="1" x14ac:dyDescent="0.25"/>
    <row r="10346" hidden="1" x14ac:dyDescent="0.25"/>
    <row r="10347" hidden="1" x14ac:dyDescent="0.25"/>
    <row r="10348" hidden="1" x14ac:dyDescent="0.25"/>
    <row r="10349" hidden="1" x14ac:dyDescent="0.25"/>
    <row r="10350" hidden="1" x14ac:dyDescent="0.25"/>
    <row r="10351" hidden="1" x14ac:dyDescent="0.25"/>
    <row r="10352" hidden="1" x14ac:dyDescent="0.25"/>
    <row r="10353" hidden="1" x14ac:dyDescent="0.25"/>
    <row r="10354" hidden="1" x14ac:dyDescent="0.25"/>
    <row r="10355" hidden="1" x14ac:dyDescent="0.25"/>
    <row r="10356" hidden="1" x14ac:dyDescent="0.25"/>
    <row r="10357" hidden="1" x14ac:dyDescent="0.25"/>
    <row r="10358" hidden="1" x14ac:dyDescent="0.25"/>
    <row r="10359" hidden="1" x14ac:dyDescent="0.25"/>
    <row r="10360" hidden="1" x14ac:dyDescent="0.25"/>
    <row r="10361" hidden="1" x14ac:dyDescent="0.25"/>
    <row r="10362" hidden="1" x14ac:dyDescent="0.25"/>
    <row r="10363" hidden="1" x14ac:dyDescent="0.25"/>
    <row r="10364" hidden="1" x14ac:dyDescent="0.25"/>
    <row r="10365" hidden="1" x14ac:dyDescent="0.25"/>
    <row r="10366" hidden="1" x14ac:dyDescent="0.25"/>
    <row r="10367" hidden="1" x14ac:dyDescent="0.25"/>
    <row r="10368" hidden="1" x14ac:dyDescent="0.25"/>
    <row r="10369" hidden="1" x14ac:dyDescent="0.25"/>
    <row r="10370" hidden="1" x14ac:dyDescent="0.25"/>
    <row r="10371" hidden="1" x14ac:dyDescent="0.25"/>
    <row r="10372" hidden="1" x14ac:dyDescent="0.25"/>
    <row r="10373" hidden="1" x14ac:dyDescent="0.25"/>
    <row r="10374" hidden="1" x14ac:dyDescent="0.25"/>
    <row r="10375" hidden="1" x14ac:dyDescent="0.25"/>
    <row r="10376" hidden="1" x14ac:dyDescent="0.25"/>
    <row r="10377" hidden="1" x14ac:dyDescent="0.25"/>
    <row r="10378" hidden="1" x14ac:dyDescent="0.25"/>
    <row r="10379" hidden="1" x14ac:dyDescent="0.25"/>
    <row r="10380" hidden="1" x14ac:dyDescent="0.25"/>
    <row r="10381" hidden="1" x14ac:dyDescent="0.25"/>
    <row r="10382" hidden="1" x14ac:dyDescent="0.25"/>
    <row r="10383" hidden="1" x14ac:dyDescent="0.25"/>
    <row r="10384" hidden="1" x14ac:dyDescent="0.25"/>
    <row r="10385" hidden="1" x14ac:dyDescent="0.25"/>
    <row r="10386" hidden="1" x14ac:dyDescent="0.25"/>
    <row r="10387" hidden="1" x14ac:dyDescent="0.25"/>
    <row r="10388" hidden="1" x14ac:dyDescent="0.25"/>
    <row r="10389" hidden="1" x14ac:dyDescent="0.25"/>
    <row r="10390" hidden="1" x14ac:dyDescent="0.25"/>
    <row r="10391" hidden="1" x14ac:dyDescent="0.25"/>
    <row r="10392" hidden="1" x14ac:dyDescent="0.25"/>
    <row r="10393" hidden="1" x14ac:dyDescent="0.25"/>
    <row r="10394" hidden="1" x14ac:dyDescent="0.25"/>
    <row r="10395" hidden="1" x14ac:dyDescent="0.25"/>
    <row r="10396" hidden="1" x14ac:dyDescent="0.25"/>
    <row r="10397" hidden="1" x14ac:dyDescent="0.25"/>
    <row r="10398" hidden="1" x14ac:dyDescent="0.25"/>
    <row r="10399" hidden="1" x14ac:dyDescent="0.25"/>
    <row r="10400" hidden="1" x14ac:dyDescent="0.25"/>
    <row r="10401" hidden="1" x14ac:dyDescent="0.25"/>
    <row r="10402" hidden="1" x14ac:dyDescent="0.25"/>
    <row r="10403" hidden="1" x14ac:dyDescent="0.25"/>
    <row r="10404" hidden="1" x14ac:dyDescent="0.25"/>
    <row r="10405" hidden="1" x14ac:dyDescent="0.25"/>
    <row r="10406" hidden="1" x14ac:dyDescent="0.25"/>
    <row r="10407" hidden="1" x14ac:dyDescent="0.25"/>
    <row r="10408" hidden="1" x14ac:dyDescent="0.25"/>
    <row r="10409" hidden="1" x14ac:dyDescent="0.25"/>
    <row r="10410" hidden="1" x14ac:dyDescent="0.25"/>
    <row r="10411" hidden="1" x14ac:dyDescent="0.25"/>
    <row r="10412" hidden="1" x14ac:dyDescent="0.25"/>
    <row r="10413" hidden="1" x14ac:dyDescent="0.25"/>
    <row r="10414" hidden="1" x14ac:dyDescent="0.25"/>
    <row r="10415" hidden="1" x14ac:dyDescent="0.25"/>
    <row r="10416" hidden="1" x14ac:dyDescent="0.25"/>
    <row r="10417" hidden="1" x14ac:dyDescent="0.25"/>
    <row r="10418" hidden="1" x14ac:dyDescent="0.25"/>
    <row r="10419" hidden="1" x14ac:dyDescent="0.25"/>
    <row r="10420" hidden="1" x14ac:dyDescent="0.25"/>
    <row r="10421" hidden="1" x14ac:dyDescent="0.25"/>
    <row r="10422" hidden="1" x14ac:dyDescent="0.25"/>
    <row r="10423" hidden="1" x14ac:dyDescent="0.25"/>
    <row r="10424" hidden="1" x14ac:dyDescent="0.25"/>
    <row r="10425" hidden="1" x14ac:dyDescent="0.25"/>
    <row r="10426" hidden="1" x14ac:dyDescent="0.25"/>
    <row r="10427" hidden="1" x14ac:dyDescent="0.25"/>
    <row r="10428" hidden="1" x14ac:dyDescent="0.25"/>
    <row r="10429" hidden="1" x14ac:dyDescent="0.25"/>
    <row r="10430" hidden="1" x14ac:dyDescent="0.25"/>
    <row r="10431" hidden="1" x14ac:dyDescent="0.25"/>
    <row r="10432" hidden="1" x14ac:dyDescent="0.25"/>
    <row r="10433" hidden="1" x14ac:dyDescent="0.25"/>
    <row r="10434" hidden="1" x14ac:dyDescent="0.25"/>
    <row r="10435" hidden="1" x14ac:dyDescent="0.25"/>
    <row r="10436" hidden="1" x14ac:dyDescent="0.25"/>
    <row r="10437" hidden="1" x14ac:dyDescent="0.25"/>
    <row r="10438" hidden="1" x14ac:dyDescent="0.25"/>
    <row r="10439" hidden="1" x14ac:dyDescent="0.25"/>
    <row r="10440" hidden="1" x14ac:dyDescent="0.25"/>
    <row r="10441" hidden="1" x14ac:dyDescent="0.25"/>
    <row r="10442" hidden="1" x14ac:dyDescent="0.25"/>
    <row r="10443" hidden="1" x14ac:dyDescent="0.25"/>
    <row r="10444" hidden="1" x14ac:dyDescent="0.25"/>
    <row r="10445" hidden="1" x14ac:dyDescent="0.25"/>
    <row r="10446" hidden="1" x14ac:dyDescent="0.25"/>
    <row r="10447" hidden="1" x14ac:dyDescent="0.25"/>
    <row r="10448" hidden="1" x14ac:dyDescent="0.25"/>
    <row r="10449" hidden="1" x14ac:dyDescent="0.25"/>
    <row r="10450" hidden="1" x14ac:dyDescent="0.25"/>
    <row r="10451" hidden="1" x14ac:dyDescent="0.25"/>
    <row r="10452" hidden="1" x14ac:dyDescent="0.25"/>
    <row r="10453" hidden="1" x14ac:dyDescent="0.25"/>
    <row r="10454" hidden="1" x14ac:dyDescent="0.25"/>
    <row r="10455" hidden="1" x14ac:dyDescent="0.25"/>
    <row r="10456" hidden="1" x14ac:dyDescent="0.25"/>
    <row r="10457" hidden="1" x14ac:dyDescent="0.25"/>
    <row r="10458" hidden="1" x14ac:dyDescent="0.25"/>
    <row r="10459" hidden="1" x14ac:dyDescent="0.25"/>
    <row r="10460" hidden="1" x14ac:dyDescent="0.25"/>
    <row r="10461" hidden="1" x14ac:dyDescent="0.25"/>
    <row r="10462" hidden="1" x14ac:dyDescent="0.25"/>
    <row r="10463" hidden="1" x14ac:dyDescent="0.25"/>
    <row r="10464" hidden="1" x14ac:dyDescent="0.25"/>
    <row r="10465" hidden="1" x14ac:dyDescent="0.25"/>
    <row r="10466" hidden="1" x14ac:dyDescent="0.25"/>
    <row r="10467" hidden="1" x14ac:dyDescent="0.25"/>
    <row r="10468" hidden="1" x14ac:dyDescent="0.25"/>
    <row r="10469" hidden="1" x14ac:dyDescent="0.25"/>
    <row r="10470" hidden="1" x14ac:dyDescent="0.25"/>
    <row r="10471" hidden="1" x14ac:dyDescent="0.25"/>
    <row r="10472" hidden="1" x14ac:dyDescent="0.25"/>
    <row r="10473" hidden="1" x14ac:dyDescent="0.25"/>
    <row r="10474" hidden="1" x14ac:dyDescent="0.25"/>
    <row r="10475" hidden="1" x14ac:dyDescent="0.25"/>
    <row r="10476" hidden="1" x14ac:dyDescent="0.25"/>
    <row r="10477" hidden="1" x14ac:dyDescent="0.25"/>
    <row r="10478" hidden="1" x14ac:dyDescent="0.25"/>
    <row r="10479" hidden="1" x14ac:dyDescent="0.25"/>
    <row r="10480" hidden="1" x14ac:dyDescent="0.25"/>
    <row r="10481" hidden="1" x14ac:dyDescent="0.25"/>
    <row r="10482" hidden="1" x14ac:dyDescent="0.25"/>
    <row r="10483" hidden="1" x14ac:dyDescent="0.25"/>
    <row r="10484" hidden="1" x14ac:dyDescent="0.25"/>
    <row r="10485" hidden="1" x14ac:dyDescent="0.25"/>
    <row r="10486" hidden="1" x14ac:dyDescent="0.25"/>
    <row r="10487" hidden="1" x14ac:dyDescent="0.25"/>
    <row r="10488" hidden="1" x14ac:dyDescent="0.25"/>
    <row r="10489" hidden="1" x14ac:dyDescent="0.25"/>
    <row r="10490" hidden="1" x14ac:dyDescent="0.25"/>
    <row r="10491" hidden="1" x14ac:dyDescent="0.25"/>
    <row r="10492" hidden="1" x14ac:dyDescent="0.25"/>
    <row r="10493" hidden="1" x14ac:dyDescent="0.25"/>
    <row r="10494" hidden="1" x14ac:dyDescent="0.25"/>
    <row r="10495" hidden="1" x14ac:dyDescent="0.25"/>
    <row r="10496" hidden="1" x14ac:dyDescent="0.25"/>
    <row r="10497" hidden="1" x14ac:dyDescent="0.25"/>
    <row r="10498" hidden="1" x14ac:dyDescent="0.25"/>
    <row r="10499" hidden="1" x14ac:dyDescent="0.25"/>
    <row r="10500" hidden="1" x14ac:dyDescent="0.25"/>
    <row r="10501" hidden="1" x14ac:dyDescent="0.25"/>
    <row r="10502" hidden="1" x14ac:dyDescent="0.25"/>
    <row r="10503" hidden="1" x14ac:dyDescent="0.25"/>
    <row r="10504" hidden="1" x14ac:dyDescent="0.25"/>
    <row r="10505" hidden="1" x14ac:dyDescent="0.25"/>
    <row r="10506" hidden="1" x14ac:dyDescent="0.25"/>
    <row r="10507" hidden="1" x14ac:dyDescent="0.25"/>
    <row r="10508" hidden="1" x14ac:dyDescent="0.25"/>
    <row r="10509" hidden="1" x14ac:dyDescent="0.25"/>
    <row r="10510" hidden="1" x14ac:dyDescent="0.25"/>
    <row r="10511" hidden="1" x14ac:dyDescent="0.25"/>
    <row r="10512" hidden="1" x14ac:dyDescent="0.25"/>
    <row r="10513" hidden="1" x14ac:dyDescent="0.25"/>
    <row r="10514" hidden="1" x14ac:dyDescent="0.25"/>
    <row r="10515" hidden="1" x14ac:dyDescent="0.25"/>
    <row r="10516" hidden="1" x14ac:dyDescent="0.25"/>
    <row r="10517" hidden="1" x14ac:dyDescent="0.25"/>
    <row r="10518" hidden="1" x14ac:dyDescent="0.25"/>
    <row r="10519" hidden="1" x14ac:dyDescent="0.25"/>
    <row r="10520" hidden="1" x14ac:dyDescent="0.25"/>
    <row r="10521" hidden="1" x14ac:dyDescent="0.25"/>
    <row r="10522" hidden="1" x14ac:dyDescent="0.25"/>
    <row r="10523" hidden="1" x14ac:dyDescent="0.25"/>
    <row r="10524" hidden="1" x14ac:dyDescent="0.25"/>
    <row r="10525" hidden="1" x14ac:dyDescent="0.25"/>
    <row r="10526" hidden="1" x14ac:dyDescent="0.25"/>
    <row r="10527" hidden="1" x14ac:dyDescent="0.25"/>
    <row r="10528" hidden="1" x14ac:dyDescent="0.25"/>
    <row r="10529" hidden="1" x14ac:dyDescent="0.25"/>
    <row r="10530" hidden="1" x14ac:dyDescent="0.25"/>
    <row r="10531" hidden="1" x14ac:dyDescent="0.25"/>
    <row r="10532" hidden="1" x14ac:dyDescent="0.25"/>
    <row r="10533" hidden="1" x14ac:dyDescent="0.25"/>
    <row r="10534" hidden="1" x14ac:dyDescent="0.25"/>
    <row r="10535" hidden="1" x14ac:dyDescent="0.25"/>
    <row r="10536" hidden="1" x14ac:dyDescent="0.25"/>
    <row r="10537" hidden="1" x14ac:dyDescent="0.25"/>
    <row r="10538" hidden="1" x14ac:dyDescent="0.25"/>
    <row r="10539" hidden="1" x14ac:dyDescent="0.25"/>
    <row r="10540" hidden="1" x14ac:dyDescent="0.25"/>
    <row r="10541" hidden="1" x14ac:dyDescent="0.25"/>
    <row r="10542" hidden="1" x14ac:dyDescent="0.25"/>
    <row r="10543" hidden="1" x14ac:dyDescent="0.25"/>
    <row r="10544" hidden="1" x14ac:dyDescent="0.25"/>
    <row r="10545" hidden="1" x14ac:dyDescent="0.25"/>
    <row r="10546" hidden="1" x14ac:dyDescent="0.25"/>
    <row r="10547" hidden="1" x14ac:dyDescent="0.25"/>
    <row r="10548" hidden="1" x14ac:dyDescent="0.25"/>
    <row r="10549" hidden="1" x14ac:dyDescent="0.25"/>
    <row r="10550" hidden="1" x14ac:dyDescent="0.25"/>
    <row r="10551" hidden="1" x14ac:dyDescent="0.25"/>
    <row r="10552" hidden="1" x14ac:dyDescent="0.25"/>
    <row r="10553" hidden="1" x14ac:dyDescent="0.25"/>
    <row r="10554" hidden="1" x14ac:dyDescent="0.25"/>
    <row r="10555" hidden="1" x14ac:dyDescent="0.25"/>
    <row r="10556" hidden="1" x14ac:dyDescent="0.25"/>
    <row r="10557" hidden="1" x14ac:dyDescent="0.25"/>
    <row r="10558" hidden="1" x14ac:dyDescent="0.25"/>
    <row r="10559" hidden="1" x14ac:dyDescent="0.25"/>
    <row r="10560" hidden="1" x14ac:dyDescent="0.25"/>
    <row r="10561" hidden="1" x14ac:dyDescent="0.25"/>
    <row r="10562" hidden="1" x14ac:dyDescent="0.25"/>
    <row r="10563" hidden="1" x14ac:dyDescent="0.25"/>
    <row r="10564" hidden="1" x14ac:dyDescent="0.25"/>
    <row r="10565" hidden="1" x14ac:dyDescent="0.25"/>
    <row r="10566" hidden="1" x14ac:dyDescent="0.25"/>
    <row r="10567" hidden="1" x14ac:dyDescent="0.25"/>
    <row r="10568" hidden="1" x14ac:dyDescent="0.25"/>
    <row r="10569" hidden="1" x14ac:dyDescent="0.25"/>
    <row r="10570" hidden="1" x14ac:dyDescent="0.25"/>
    <row r="10571" hidden="1" x14ac:dyDescent="0.25"/>
    <row r="10572" hidden="1" x14ac:dyDescent="0.25"/>
    <row r="10573" hidden="1" x14ac:dyDescent="0.25"/>
    <row r="10574" hidden="1" x14ac:dyDescent="0.25"/>
    <row r="10575" hidden="1" x14ac:dyDescent="0.25"/>
    <row r="10576" hidden="1" x14ac:dyDescent="0.25"/>
    <row r="10577" hidden="1" x14ac:dyDescent="0.25"/>
    <row r="10578" hidden="1" x14ac:dyDescent="0.25"/>
    <row r="10579" hidden="1" x14ac:dyDescent="0.25"/>
    <row r="10580" hidden="1" x14ac:dyDescent="0.25"/>
    <row r="10581" hidden="1" x14ac:dyDescent="0.25"/>
    <row r="10582" hidden="1" x14ac:dyDescent="0.25"/>
    <row r="10583" hidden="1" x14ac:dyDescent="0.25"/>
    <row r="10584" hidden="1" x14ac:dyDescent="0.25"/>
    <row r="10585" hidden="1" x14ac:dyDescent="0.25"/>
    <row r="10586" hidden="1" x14ac:dyDescent="0.25"/>
    <row r="10587" hidden="1" x14ac:dyDescent="0.25"/>
    <row r="10588" hidden="1" x14ac:dyDescent="0.25"/>
    <row r="10589" hidden="1" x14ac:dyDescent="0.25"/>
    <row r="10590" hidden="1" x14ac:dyDescent="0.25"/>
    <row r="10591" hidden="1" x14ac:dyDescent="0.25"/>
    <row r="10592" hidden="1" x14ac:dyDescent="0.25"/>
    <row r="10593" hidden="1" x14ac:dyDescent="0.25"/>
    <row r="10594" hidden="1" x14ac:dyDescent="0.25"/>
    <row r="10595" hidden="1" x14ac:dyDescent="0.25"/>
    <row r="10596" hidden="1" x14ac:dyDescent="0.25"/>
    <row r="10597" hidden="1" x14ac:dyDescent="0.25"/>
    <row r="10598" hidden="1" x14ac:dyDescent="0.25"/>
    <row r="10599" hidden="1" x14ac:dyDescent="0.25"/>
    <row r="10600" hidden="1" x14ac:dyDescent="0.25"/>
    <row r="10601" hidden="1" x14ac:dyDescent="0.25"/>
    <row r="10602" hidden="1" x14ac:dyDescent="0.25"/>
    <row r="10603" hidden="1" x14ac:dyDescent="0.25"/>
    <row r="10604" hidden="1" x14ac:dyDescent="0.25"/>
    <row r="10605" hidden="1" x14ac:dyDescent="0.25"/>
    <row r="10606" hidden="1" x14ac:dyDescent="0.25"/>
    <row r="10607" hidden="1" x14ac:dyDescent="0.25"/>
    <row r="10608" hidden="1" x14ac:dyDescent="0.25"/>
    <row r="10609" hidden="1" x14ac:dyDescent="0.25"/>
    <row r="10610" hidden="1" x14ac:dyDescent="0.25"/>
    <row r="10611" hidden="1" x14ac:dyDescent="0.25"/>
    <row r="10612" hidden="1" x14ac:dyDescent="0.25"/>
    <row r="10613" hidden="1" x14ac:dyDescent="0.25"/>
    <row r="10614" hidden="1" x14ac:dyDescent="0.25"/>
    <row r="10615" hidden="1" x14ac:dyDescent="0.25"/>
    <row r="10616" hidden="1" x14ac:dyDescent="0.25"/>
    <row r="10617" hidden="1" x14ac:dyDescent="0.25"/>
    <row r="10618" hidden="1" x14ac:dyDescent="0.25"/>
    <row r="10619" hidden="1" x14ac:dyDescent="0.25"/>
    <row r="10620" hidden="1" x14ac:dyDescent="0.25"/>
    <row r="10621" hidden="1" x14ac:dyDescent="0.25"/>
    <row r="10622" hidden="1" x14ac:dyDescent="0.25"/>
    <row r="10623" hidden="1" x14ac:dyDescent="0.25"/>
    <row r="10624" hidden="1" x14ac:dyDescent="0.25"/>
    <row r="10625" hidden="1" x14ac:dyDescent="0.25"/>
    <row r="10626" hidden="1" x14ac:dyDescent="0.25"/>
    <row r="10627" hidden="1" x14ac:dyDescent="0.25"/>
    <row r="10628" hidden="1" x14ac:dyDescent="0.25"/>
    <row r="10629" hidden="1" x14ac:dyDescent="0.25"/>
    <row r="10630" hidden="1" x14ac:dyDescent="0.25"/>
    <row r="10631" hidden="1" x14ac:dyDescent="0.25"/>
    <row r="10632" hidden="1" x14ac:dyDescent="0.25"/>
    <row r="10633" hidden="1" x14ac:dyDescent="0.25"/>
    <row r="10634" hidden="1" x14ac:dyDescent="0.25"/>
    <row r="10635" hidden="1" x14ac:dyDescent="0.25"/>
    <row r="10636" hidden="1" x14ac:dyDescent="0.25"/>
    <row r="10637" hidden="1" x14ac:dyDescent="0.25"/>
    <row r="10638" hidden="1" x14ac:dyDescent="0.25"/>
    <row r="10639" hidden="1" x14ac:dyDescent="0.25"/>
    <row r="10640" hidden="1" x14ac:dyDescent="0.25"/>
    <row r="10641" hidden="1" x14ac:dyDescent="0.25"/>
    <row r="10642" hidden="1" x14ac:dyDescent="0.25"/>
    <row r="10643" hidden="1" x14ac:dyDescent="0.25"/>
    <row r="10644" hidden="1" x14ac:dyDescent="0.25"/>
    <row r="10645" hidden="1" x14ac:dyDescent="0.25"/>
    <row r="10646" hidden="1" x14ac:dyDescent="0.25"/>
    <row r="10647" hidden="1" x14ac:dyDescent="0.25"/>
    <row r="10648" hidden="1" x14ac:dyDescent="0.25"/>
    <row r="10649" hidden="1" x14ac:dyDescent="0.25"/>
    <row r="10650" hidden="1" x14ac:dyDescent="0.25"/>
    <row r="10651" hidden="1" x14ac:dyDescent="0.25"/>
    <row r="10652" hidden="1" x14ac:dyDescent="0.25"/>
    <row r="10653" hidden="1" x14ac:dyDescent="0.25"/>
    <row r="10654" hidden="1" x14ac:dyDescent="0.25"/>
    <row r="10655" hidden="1" x14ac:dyDescent="0.25"/>
    <row r="10656" hidden="1" x14ac:dyDescent="0.25"/>
    <row r="10657" hidden="1" x14ac:dyDescent="0.25"/>
    <row r="10658" hidden="1" x14ac:dyDescent="0.25"/>
    <row r="10659" hidden="1" x14ac:dyDescent="0.25"/>
    <row r="10660" hidden="1" x14ac:dyDescent="0.25"/>
    <row r="10661" hidden="1" x14ac:dyDescent="0.25"/>
    <row r="10662" hidden="1" x14ac:dyDescent="0.25"/>
    <row r="10663" hidden="1" x14ac:dyDescent="0.25"/>
    <row r="10664" hidden="1" x14ac:dyDescent="0.25"/>
    <row r="10665" hidden="1" x14ac:dyDescent="0.25"/>
    <row r="10666" hidden="1" x14ac:dyDescent="0.25"/>
    <row r="10667" hidden="1" x14ac:dyDescent="0.25"/>
    <row r="10668" hidden="1" x14ac:dyDescent="0.25"/>
    <row r="10669" hidden="1" x14ac:dyDescent="0.25"/>
    <row r="10670" hidden="1" x14ac:dyDescent="0.25"/>
    <row r="10671" hidden="1" x14ac:dyDescent="0.25"/>
    <row r="10672" hidden="1" x14ac:dyDescent="0.25"/>
    <row r="10673" hidden="1" x14ac:dyDescent="0.25"/>
    <row r="10674" hidden="1" x14ac:dyDescent="0.25"/>
    <row r="10675" hidden="1" x14ac:dyDescent="0.25"/>
    <row r="10676" hidden="1" x14ac:dyDescent="0.25"/>
    <row r="10677" hidden="1" x14ac:dyDescent="0.25"/>
    <row r="10678" hidden="1" x14ac:dyDescent="0.25"/>
    <row r="10679" hidden="1" x14ac:dyDescent="0.25"/>
    <row r="10680" hidden="1" x14ac:dyDescent="0.25"/>
    <row r="10681" hidden="1" x14ac:dyDescent="0.25"/>
    <row r="10682" hidden="1" x14ac:dyDescent="0.25"/>
    <row r="10683" hidden="1" x14ac:dyDescent="0.25"/>
    <row r="10684" hidden="1" x14ac:dyDescent="0.25"/>
    <row r="10685" hidden="1" x14ac:dyDescent="0.25"/>
    <row r="10686" hidden="1" x14ac:dyDescent="0.25"/>
    <row r="10687" hidden="1" x14ac:dyDescent="0.25"/>
    <row r="10688" hidden="1" x14ac:dyDescent="0.25"/>
    <row r="10689" hidden="1" x14ac:dyDescent="0.25"/>
    <row r="10690" hidden="1" x14ac:dyDescent="0.25"/>
    <row r="10691" hidden="1" x14ac:dyDescent="0.25"/>
    <row r="10692" hidden="1" x14ac:dyDescent="0.25"/>
    <row r="10693" hidden="1" x14ac:dyDescent="0.25"/>
    <row r="10694" hidden="1" x14ac:dyDescent="0.25"/>
    <row r="10695" hidden="1" x14ac:dyDescent="0.25"/>
    <row r="10696" hidden="1" x14ac:dyDescent="0.25"/>
    <row r="10697" hidden="1" x14ac:dyDescent="0.25"/>
    <row r="10698" hidden="1" x14ac:dyDescent="0.25"/>
    <row r="10699" hidden="1" x14ac:dyDescent="0.25"/>
    <row r="10700" hidden="1" x14ac:dyDescent="0.25"/>
    <row r="10701" hidden="1" x14ac:dyDescent="0.25"/>
    <row r="10702" hidden="1" x14ac:dyDescent="0.25"/>
    <row r="10703" hidden="1" x14ac:dyDescent="0.25"/>
    <row r="10704" hidden="1" x14ac:dyDescent="0.25"/>
    <row r="10705" hidden="1" x14ac:dyDescent="0.25"/>
    <row r="10706" hidden="1" x14ac:dyDescent="0.25"/>
    <row r="10707" hidden="1" x14ac:dyDescent="0.25"/>
    <row r="10708" hidden="1" x14ac:dyDescent="0.25"/>
    <row r="10709" hidden="1" x14ac:dyDescent="0.25"/>
    <row r="10710" hidden="1" x14ac:dyDescent="0.25"/>
    <row r="10711" hidden="1" x14ac:dyDescent="0.25"/>
    <row r="10712" hidden="1" x14ac:dyDescent="0.25"/>
    <row r="10713" hidden="1" x14ac:dyDescent="0.25"/>
    <row r="10714" hidden="1" x14ac:dyDescent="0.25"/>
    <row r="10715" hidden="1" x14ac:dyDescent="0.25"/>
    <row r="10716" hidden="1" x14ac:dyDescent="0.25"/>
    <row r="10717" hidden="1" x14ac:dyDescent="0.25"/>
    <row r="10718" hidden="1" x14ac:dyDescent="0.25"/>
    <row r="10719" hidden="1" x14ac:dyDescent="0.25"/>
    <row r="10720" hidden="1" x14ac:dyDescent="0.25"/>
    <row r="10721" hidden="1" x14ac:dyDescent="0.25"/>
    <row r="10722" hidden="1" x14ac:dyDescent="0.25"/>
    <row r="10723" hidden="1" x14ac:dyDescent="0.25"/>
    <row r="10724" hidden="1" x14ac:dyDescent="0.25"/>
    <row r="10725" hidden="1" x14ac:dyDescent="0.25"/>
    <row r="10726" hidden="1" x14ac:dyDescent="0.25"/>
    <row r="10727" hidden="1" x14ac:dyDescent="0.25"/>
    <row r="10728" hidden="1" x14ac:dyDescent="0.25"/>
    <row r="10729" hidden="1" x14ac:dyDescent="0.25"/>
    <row r="10730" hidden="1" x14ac:dyDescent="0.25"/>
    <row r="10731" hidden="1" x14ac:dyDescent="0.25"/>
    <row r="10732" hidden="1" x14ac:dyDescent="0.25"/>
    <row r="10733" hidden="1" x14ac:dyDescent="0.25"/>
    <row r="10734" hidden="1" x14ac:dyDescent="0.25"/>
    <row r="10735" hidden="1" x14ac:dyDescent="0.25"/>
    <row r="10736" hidden="1" x14ac:dyDescent="0.25"/>
    <row r="10737" hidden="1" x14ac:dyDescent="0.25"/>
    <row r="10738" hidden="1" x14ac:dyDescent="0.25"/>
    <row r="10739" hidden="1" x14ac:dyDescent="0.25"/>
    <row r="10740" hidden="1" x14ac:dyDescent="0.25"/>
    <row r="10741" hidden="1" x14ac:dyDescent="0.25"/>
    <row r="10742" hidden="1" x14ac:dyDescent="0.25"/>
    <row r="10743" hidden="1" x14ac:dyDescent="0.25"/>
    <row r="10744" hidden="1" x14ac:dyDescent="0.25"/>
    <row r="10745" hidden="1" x14ac:dyDescent="0.25"/>
    <row r="10746" hidden="1" x14ac:dyDescent="0.25"/>
    <row r="10747" hidden="1" x14ac:dyDescent="0.25"/>
    <row r="10748" hidden="1" x14ac:dyDescent="0.25"/>
    <row r="10749" hidden="1" x14ac:dyDescent="0.25"/>
    <row r="10750" hidden="1" x14ac:dyDescent="0.25"/>
    <row r="10751" hidden="1" x14ac:dyDescent="0.25"/>
    <row r="10752" hidden="1" x14ac:dyDescent="0.25"/>
    <row r="10753" hidden="1" x14ac:dyDescent="0.25"/>
    <row r="10754" hidden="1" x14ac:dyDescent="0.25"/>
    <row r="10755" hidden="1" x14ac:dyDescent="0.25"/>
    <row r="10756" hidden="1" x14ac:dyDescent="0.25"/>
    <row r="10757" hidden="1" x14ac:dyDescent="0.25"/>
    <row r="10758" hidden="1" x14ac:dyDescent="0.25"/>
    <row r="10759" hidden="1" x14ac:dyDescent="0.25"/>
    <row r="10760" hidden="1" x14ac:dyDescent="0.25"/>
    <row r="10761" hidden="1" x14ac:dyDescent="0.25"/>
    <row r="10762" hidden="1" x14ac:dyDescent="0.25"/>
    <row r="10763" hidden="1" x14ac:dyDescent="0.25"/>
    <row r="10764" hidden="1" x14ac:dyDescent="0.25"/>
    <row r="10765" hidden="1" x14ac:dyDescent="0.25"/>
    <row r="10766" hidden="1" x14ac:dyDescent="0.25"/>
    <row r="10767" hidden="1" x14ac:dyDescent="0.25"/>
    <row r="10768" hidden="1" x14ac:dyDescent="0.25"/>
    <row r="10769" hidden="1" x14ac:dyDescent="0.25"/>
    <row r="10770" hidden="1" x14ac:dyDescent="0.25"/>
    <row r="10771" hidden="1" x14ac:dyDescent="0.25"/>
    <row r="10772" hidden="1" x14ac:dyDescent="0.25"/>
    <row r="10773" hidden="1" x14ac:dyDescent="0.25"/>
    <row r="10774" hidden="1" x14ac:dyDescent="0.25"/>
    <row r="10775" hidden="1" x14ac:dyDescent="0.25"/>
    <row r="10776" hidden="1" x14ac:dyDescent="0.25"/>
    <row r="10777" hidden="1" x14ac:dyDescent="0.25"/>
    <row r="10778" hidden="1" x14ac:dyDescent="0.25"/>
    <row r="10779" hidden="1" x14ac:dyDescent="0.25"/>
    <row r="10780" hidden="1" x14ac:dyDescent="0.25"/>
    <row r="10781" hidden="1" x14ac:dyDescent="0.25"/>
    <row r="10782" hidden="1" x14ac:dyDescent="0.25"/>
    <row r="10783" hidden="1" x14ac:dyDescent="0.25"/>
    <row r="10784" hidden="1" x14ac:dyDescent="0.25"/>
    <row r="10785" hidden="1" x14ac:dyDescent="0.25"/>
    <row r="10786" hidden="1" x14ac:dyDescent="0.25"/>
    <row r="10787" hidden="1" x14ac:dyDescent="0.25"/>
    <row r="10788" hidden="1" x14ac:dyDescent="0.25"/>
    <row r="10789" hidden="1" x14ac:dyDescent="0.25"/>
    <row r="10790" hidden="1" x14ac:dyDescent="0.25"/>
    <row r="10791" hidden="1" x14ac:dyDescent="0.25"/>
    <row r="10792" hidden="1" x14ac:dyDescent="0.25"/>
    <row r="10793" hidden="1" x14ac:dyDescent="0.25"/>
    <row r="10794" hidden="1" x14ac:dyDescent="0.25"/>
    <row r="10795" hidden="1" x14ac:dyDescent="0.25"/>
    <row r="10796" hidden="1" x14ac:dyDescent="0.25"/>
    <row r="10797" hidden="1" x14ac:dyDescent="0.25"/>
    <row r="10798" hidden="1" x14ac:dyDescent="0.25"/>
    <row r="10799" hidden="1" x14ac:dyDescent="0.25"/>
    <row r="10800" hidden="1" x14ac:dyDescent="0.25"/>
    <row r="10801" hidden="1" x14ac:dyDescent="0.25"/>
    <row r="10802" hidden="1" x14ac:dyDescent="0.25"/>
    <row r="10803" hidden="1" x14ac:dyDescent="0.25"/>
    <row r="10804" hidden="1" x14ac:dyDescent="0.25"/>
    <row r="10805" hidden="1" x14ac:dyDescent="0.25"/>
    <row r="10806" hidden="1" x14ac:dyDescent="0.25"/>
    <row r="10807" hidden="1" x14ac:dyDescent="0.25"/>
    <row r="10808" hidden="1" x14ac:dyDescent="0.25"/>
    <row r="10809" hidden="1" x14ac:dyDescent="0.25"/>
    <row r="10810" hidden="1" x14ac:dyDescent="0.25"/>
    <row r="10811" hidden="1" x14ac:dyDescent="0.25"/>
    <row r="10812" hidden="1" x14ac:dyDescent="0.25"/>
    <row r="10813" hidden="1" x14ac:dyDescent="0.25"/>
    <row r="10814" hidden="1" x14ac:dyDescent="0.25"/>
    <row r="10815" hidden="1" x14ac:dyDescent="0.25"/>
    <row r="10816" hidden="1" x14ac:dyDescent="0.25"/>
    <row r="10817" hidden="1" x14ac:dyDescent="0.25"/>
    <row r="10818" hidden="1" x14ac:dyDescent="0.25"/>
    <row r="10819" hidden="1" x14ac:dyDescent="0.25"/>
    <row r="10820" hidden="1" x14ac:dyDescent="0.25"/>
    <row r="10821" hidden="1" x14ac:dyDescent="0.25"/>
    <row r="10822" hidden="1" x14ac:dyDescent="0.25"/>
    <row r="10823" hidden="1" x14ac:dyDescent="0.25"/>
    <row r="10824" hidden="1" x14ac:dyDescent="0.25"/>
    <row r="10825" hidden="1" x14ac:dyDescent="0.25"/>
    <row r="10826" hidden="1" x14ac:dyDescent="0.25"/>
    <row r="10827" hidden="1" x14ac:dyDescent="0.25"/>
    <row r="10828" hidden="1" x14ac:dyDescent="0.25"/>
    <row r="10829" hidden="1" x14ac:dyDescent="0.25"/>
    <row r="10830" hidden="1" x14ac:dyDescent="0.25"/>
    <row r="10831" hidden="1" x14ac:dyDescent="0.25"/>
    <row r="10832" hidden="1" x14ac:dyDescent="0.25"/>
    <row r="10833" hidden="1" x14ac:dyDescent="0.25"/>
    <row r="10834" hidden="1" x14ac:dyDescent="0.25"/>
    <row r="10835" hidden="1" x14ac:dyDescent="0.25"/>
    <row r="10836" hidden="1" x14ac:dyDescent="0.25"/>
    <row r="10837" hidden="1" x14ac:dyDescent="0.25"/>
    <row r="10838" hidden="1" x14ac:dyDescent="0.25"/>
    <row r="10839" hidden="1" x14ac:dyDescent="0.25"/>
    <row r="10840" hidden="1" x14ac:dyDescent="0.25"/>
    <row r="10841" hidden="1" x14ac:dyDescent="0.25"/>
    <row r="10842" hidden="1" x14ac:dyDescent="0.25"/>
    <row r="10843" hidden="1" x14ac:dyDescent="0.25"/>
    <row r="10844" hidden="1" x14ac:dyDescent="0.25"/>
    <row r="10845" hidden="1" x14ac:dyDescent="0.25"/>
    <row r="10846" hidden="1" x14ac:dyDescent="0.25"/>
    <row r="10847" hidden="1" x14ac:dyDescent="0.25"/>
    <row r="10848" hidden="1" x14ac:dyDescent="0.25"/>
    <row r="10849" hidden="1" x14ac:dyDescent="0.25"/>
    <row r="10850" hidden="1" x14ac:dyDescent="0.25"/>
    <row r="10851" hidden="1" x14ac:dyDescent="0.25"/>
    <row r="10852" hidden="1" x14ac:dyDescent="0.25"/>
    <row r="10853" hidden="1" x14ac:dyDescent="0.25"/>
    <row r="10854" hidden="1" x14ac:dyDescent="0.25"/>
    <row r="10855" hidden="1" x14ac:dyDescent="0.25"/>
    <row r="10856" hidden="1" x14ac:dyDescent="0.25"/>
    <row r="10857" hidden="1" x14ac:dyDescent="0.25"/>
    <row r="10858" hidden="1" x14ac:dyDescent="0.25"/>
    <row r="10859" hidden="1" x14ac:dyDescent="0.25"/>
    <row r="10860" hidden="1" x14ac:dyDescent="0.25"/>
    <row r="10861" hidden="1" x14ac:dyDescent="0.25"/>
    <row r="10862" hidden="1" x14ac:dyDescent="0.25"/>
    <row r="10863" hidden="1" x14ac:dyDescent="0.25"/>
    <row r="10864" hidden="1" x14ac:dyDescent="0.25"/>
    <row r="10865" hidden="1" x14ac:dyDescent="0.25"/>
    <row r="10866" hidden="1" x14ac:dyDescent="0.25"/>
    <row r="10867" hidden="1" x14ac:dyDescent="0.25"/>
    <row r="10868" hidden="1" x14ac:dyDescent="0.25"/>
    <row r="10869" hidden="1" x14ac:dyDescent="0.25"/>
    <row r="10870" hidden="1" x14ac:dyDescent="0.25"/>
    <row r="10871" hidden="1" x14ac:dyDescent="0.25"/>
    <row r="10872" hidden="1" x14ac:dyDescent="0.25"/>
    <row r="10873" hidden="1" x14ac:dyDescent="0.25"/>
    <row r="10874" hidden="1" x14ac:dyDescent="0.25"/>
    <row r="10875" hidden="1" x14ac:dyDescent="0.25"/>
    <row r="10876" hidden="1" x14ac:dyDescent="0.25"/>
    <row r="10877" hidden="1" x14ac:dyDescent="0.25"/>
    <row r="10878" hidden="1" x14ac:dyDescent="0.25"/>
    <row r="10879" hidden="1" x14ac:dyDescent="0.25"/>
    <row r="10880" hidden="1" x14ac:dyDescent="0.25"/>
    <row r="10881" hidden="1" x14ac:dyDescent="0.25"/>
    <row r="10882" hidden="1" x14ac:dyDescent="0.25"/>
    <row r="10883" hidden="1" x14ac:dyDescent="0.25"/>
    <row r="10884" hidden="1" x14ac:dyDescent="0.25"/>
    <row r="10885" hidden="1" x14ac:dyDescent="0.25"/>
    <row r="10886" hidden="1" x14ac:dyDescent="0.25"/>
    <row r="10887" hidden="1" x14ac:dyDescent="0.25"/>
    <row r="10888" hidden="1" x14ac:dyDescent="0.25"/>
    <row r="10889" hidden="1" x14ac:dyDescent="0.25"/>
    <row r="10890" hidden="1" x14ac:dyDescent="0.25"/>
    <row r="10891" hidden="1" x14ac:dyDescent="0.25"/>
    <row r="10892" hidden="1" x14ac:dyDescent="0.25"/>
    <row r="10893" hidden="1" x14ac:dyDescent="0.25"/>
    <row r="10894" hidden="1" x14ac:dyDescent="0.25"/>
    <row r="10895" hidden="1" x14ac:dyDescent="0.25"/>
    <row r="10896" hidden="1" x14ac:dyDescent="0.25"/>
    <row r="10897" hidden="1" x14ac:dyDescent="0.25"/>
    <row r="10898" hidden="1" x14ac:dyDescent="0.25"/>
    <row r="10899" hidden="1" x14ac:dyDescent="0.25"/>
    <row r="10900" hidden="1" x14ac:dyDescent="0.25"/>
    <row r="10901" hidden="1" x14ac:dyDescent="0.25"/>
    <row r="10902" hidden="1" x14ac:dyDescent="0.25"/>
    <row r="10903" hidden="1" x14ac:dyDescent="0.25"/>
    <row r="10904" hidden="1" x14ac:dyDescent="0.25"/>
    <row r="10905" hidden="1" x14ac:dyDescent="0.25"/>
    <row r="10906" hidden="1" x14ac:dyDescent="0.25"/>
    <row r="10907" hidden="1" x14ac:dyDescent="0.25"/>
    <row r="10908" hidden="1" x14ac:dyDescent="0.25"/>
    <row r="10909" hidden="1" x14ac:dyDescent="0.25"/>
    <row r="10910" hidden="1" x14ac:dyDescent="0.25"/>
    <row r="10911" hidden="1" x14ac:dyDescent="0.25"/>
    <row r="10912" hidden="1" x14ac:dyDescent="0.25"/>
    <row r="10913" hidden="1" x14ac:dyDescent="0.25"/>
    <row r="10914" hidden="1" x14ac:dyDescent="0.25"/>
    <row r="10915" hidden="1" x14ac:dyDescent="0.25"/>
    <row r="10916" hidden="1" x14ac:dyDescent="0.25"/>
    <row r="10917" hidden="1" x14ac:dyDescent="0.25"/>
    <row r="10918" hidden="1" x14ac:dyDescent="0.25"/>
    <row r="10919" hidden="1" x14ac:dyDescent="0.25"/>
    <row r="10920" hidden="1" x14ac:dyDescent="0.25"/>
    <row r="10921" hidden="1" x14ac:dyDescent="0.25"/>
    <row r="10922" hidden="1" x14ac:dyDescent="0.25"/>
    <row r="10923" hidden="1" x14ac:dyDescent="0.25"/>
    <row r="10924" hidden="1" x14ac:dyDescent="0.25"/>
    <row r="10925" hidden="1" x14ac:dyDescent="0.25"/>
    <row r="10926" hidden="1" x14ac:dyDescent="0.25"/>
    <row r="10927" hidden="1" x14ac:dyDescent="0.25"/>
    <row r="10928" hidden="1" x14ac:dyDescent="0.25"/>
    <row r="10929" hidden="1" x14ac:dyDescent="0.25"/>
    <row r="10930" hidden="1" x14ac:dyDescent="0.25"/>
    <row r="10931" hidden="1" x14ac:dyDescent="0.25"/>
    <row r="10932" hidden="1" x14ac:dyDescent="0.25"/>
    <row r="10933" hidden="1" x14ac:dyDescent="0.25"/>
    <row r="10934" hidden="1" x14ac:dyDescent="0.25"/>
    <row r="10935" hidden="1" x14ac:dyDescent="0.25"/>
    <row r="10936" hidden="1" x14ac:dyDescent="0.25"/>
    <row r="10937" hidden="1" x14ac:dyDescent="0.25"/>
    <row r="10938" hidden="1" x14ac:dyDescent="0.25"/>
    <row r="10939" hidden="1" x14ac:dyDescent="0.25"/>
    <row r="10940" hidden="1" x14ac:dyDescent="0.25"/>
    <row r="10941" hidden="1" x14ac:dyDescent="0.25"/>
    <row r="10942" hidden="1" x14ac:dyDescent="0.25"/>
    <row r="10943" hidden="1" x14ac:dyDescent="0.25"/>
    <row r="10944" hidden="1" x14ac:dyDescent="0.25"/>
    <row r="10945" hidden="1" x14ac:dyDescent="0.25"/>
    <row r="10946" hidden="1" x14ac:dyDescent="0.25"/>
    <row r="10947" hidden="1" x14ac:dyDescent="0.25"/>
    <row r="10948" hidden="1" x14ac:dyDescent="0.25"/>
    <row r="10949" hidden="1" x14ac:dyDescent="0.25"/>
    <row r="10950" hidden="1" x14ac:dyDescent="0.25"/>
    <row r="10951" hidden="1" x14ac:dyDescent="0.25"/>
    <row r="10952" hidden="1" x14ac:dyDescent="0.25"/>
    <row r="10953" hidden="1" x14ac:dyDescent="0.25"/>
    <row r="10954" hidden="1" x14ac:dyDescent="0.25"/>
    <row r="10955" hidden="1" x14ac:dyDescent="0.25"/>
    <row r="10956" hidden="1" x14ac:dyDescent="0.25"/>
    <row r="10957" hidden="1" x14ac:dyDescent="0.25"/>
    <row r="10958" hidden="1" x14ac:dyDescent="0.25"/>
    <row r="10959" hidden="1" x14ac:dyDescent="0.25"/>
    <row r="10960" hidden="1" x14ac:dyDescent="0.25"/>
    <row r="10961" hidden="1" x14ac:dyDescent="0.25"/>
    <row r="10962" hidden="1" x14ac:dyDescent="0.25"/>
    <row r="10963" hidden="1" x14ac:dyDescent="0.25"/>
    <row r="10964" hidden="1" x14ac:dyDescent="0.25"/>
    <row r="10965" hidden="1" x14ac:dyDescent="0.25"/>
    <row r="10966" hidden="1" x14ac:dyDescent="0.25"/>
    <row r="10967" hidden="1" x14ac:dyDescent="0.25"/>
    <row r="10968" hidden="1" x14ac:dyDescent="0.25"/>
    <row r="10969" hidden="1" x14ac:dyDescent="0.25"/>
    <row r="10970" hidden="1" x14ac:dyDescent="0.25"/>
    <row r="10971" hidden="1" x14ac:dyDescent="0.25"/>
    <row r="10972" hidden="1" x14ac:dyDescent="0.25"/>
    <row r="10973" hidden="1" x14ac:dyDescent="0.25"/>
    <row r="10974" hidden="1" x14ac:dyDescent="0.25"/>
    <row r="10975" hidden="1" x14ac:dyDescent="0.25"/>
    <row r="10976" hidden="1" x14ac:dyDescent="0.25"/>
    <row r="10977" hidden="1" x14ac:dyDescent="0.25"/>
    <row r="10978" hidden="1" x14ac:dyDescent="0.25"/>
    <row r="10979" hidden="1" x14ac:dyDescent="0.25"/>
    <row r="10980" hidden="1" x14ac:dyDescent="0.25"/>
    <row r="10981" hidden="1" x14ac:dyDescent="0.25"/>
    <row r="10982" hidden="1" x14ac:dyDescent="0.25"/>
    <row r="10983" hidden="1" x14ac:dyDescent="0.25"/>
    <row r="10984" hidden="1" x14ac:dyDescent="0.25"/>
    <row r="10985" hidden="1" x14ac:dyDescent="0.25"/>
    <row r="10986" hidden="1" x14ac:dyDescent="0.25"/>
    <row r="10987" hidden="1" x14ac:dyDescent="0.25"/>
    <row r="10988" hidden="1" x14ac:dyDescent="0.25"/>
    <row r="10989" hidden="1" x14ac:dyDescent="0.25"/>
    <row r="10990" hidden="1" x14ac:dyDescent="0.25"/>
    <row r="10991" hidden="1" x14ac:dyDescent="0.25"/>
    <row r="10992" hidden="1" x14ac:dyDescent="0.25"/>
    <row r="10993" hidden="1" x14ac:dyDescent="0.25"/>
    <row r="10994" hidden="1" x14ac:dyDescent="0.25"/>
    <row r="10995" hidden="1" x14ac:dyDescent="0.25"/>
    <row r="10996" hidden="1" x14ac:dyDescent="0.25"/>
    <row r="10997" hidden="1" x14ac:dyDescent="0.25"/>
    <row r="10998" hidden="1" x14ac:dyDescent="0.25"/>
    <row r="10999" hidden="1" x14ac:dyDescent="0.25"/>
    <row r="11000" hidden="1" x14ac:dyDescent="0.25"/>
    <row r="11001" hidden="1" x14ac:dyDescent="0.25"/>
    <row r="11002" hidden="1" x14ac:dyDescent="0.25"/>
    <row r="11003" hidden="1" x14ac:dyDescent="0.25"/>
    <row r="11004" hidden="1" x14ac:dyDescent="0.25"/>
    <row r="11005" hidden="1" x14ac:dyDescent="0.25"/>
    <row r="11006" hidden="1" x14ac:dyDescent="0.25"/>
    <row r="11007" hidden="1" x14ac:dyDescent="0.25"/>
    <row r="11008" hidden="1" x14ac:dyDescent="0.25"/>
    <row r="11009" hidden="1" x14ac:dyDescent="0.25"/>
    <row r="11010" hidden="1" x14ac:dyDescent="0.25"/>
    <row r="11011" hidden="1" x14ac:dyDescent="0.25"/>
    <row r="11012" hidden="1" x14ac:dyDescent="0.25"/>
    <row r="11013" hidden="1" x14ac:dyDescent="0.25"/>
    <row r="11014" hidden="1" x14ac:dyDescent="0.25"/>
    <row r="11015" hidden="1" x14ac:dyDescent="0.25"/>
    <row r="11016" hidden="1" x14ac:dyDescent="0.25"/>
    <row r="11017" hidden="1" x14ac:dyDescent="0.25"/>
    <row r="11018" hidden="1" x14ac:dyDescent="0.25"/>
    <row r="11019" hidden="1" x14ac:dyDescent="0.25"/>
    <row r="11020" hidden="1" x14ac:dyDescent="0.25"/>
    <row r="11021" hidden="1" x14ac:dyDescent="0.25"/>
    <row r="11022" hidden="1" x14ac:dyDescent="0.25"/>
    <row r="11023" hidden="1" x14ac:dyDescent="0.25"/>
    <row r="11024" hidden="1" x14ac:dyDescent="0.25"/>
    <row r="11025" hidden="1" x14ac:dyDescent="0.25"/>
    <row r="11026" hidden="1" x14ac:dyDescent="0.25"/>
    <row r="11027" hidden="1" x14ac:dyDescent="0.25"/>
    <row r="11028" hidden="1" x14ac:dyDescent="0.25"/>
    <row r="11029" hidden="1" x14ac:dyDescent="0.25"/>
    <row r="11030" hidden="1" x14ac:dyDescent="0.25"/>
    <row r="11031" hidden="1" x14ac:dyDescent="0.25"/>
    <row r="11032" hidden="1" x14ac:dyDescent="0.25"/>
    <row r="11033" hidden="1" x14ac:dyDescent="0.25"/>
    <row r="11034" hidden="1" x14ac:dyDescent="0.25"/>
    <row r="11035" hidden="1" x14ac:dyDescent="0.25"/>
    <row r="11036" hidden="1" x14ac:dyDescent="0.25"/>
    <row r="11037" hidden="1" x14ac:dyDescent="0.25"/>
    <row r="11038" hidden="1" x14ac:dyDescent="0.25"/>
    <row r="11039" hidden="1" x14ac:dyDescent="0.25"/>
    <row r="11040" hidden="1" x14ac:dyDescent="0.25"/>
    <row r="11041" hidden="1" x14ac:dyDescent="0.25"/>
    <row r="11042" hidden="1" x14ac:dyDescent="0.25"/>
    <row r="11043" hidden="1" x14ac:dyDescent="0.25"/>
    <row r="11044" hidden="1" x14ac:dyDescent="0.25"/>
    <row r="11045" hidden="1" x14ac:dyDescent="0.25"/>
    <row r="11046" hidden="1" x14ac:dyDescent="0.25"/>
    <row r="11047" hidden="1" x14ac:dyDescent="0.25"/>
    <row r="11048" hidden="1" x14ac:dyDescent="0.25"/>
    <row r="11049" hidden="1" x14ac:dyDescent="0.25"/>
    <row r="11050" hidden="1" x14ac:dyDescent="0.25"/>
    <row r="11051" hidden="1" x14ac:dyDescent="0.25"/>
    <row r="11052" hidden="1" x14ac:dyDescent="0.25"/>
    <row r="11053" hidden="1" x14ac:dyDescent="0.25"/>
    <row r="11054" hidden="1" x14ac:dyDescent="0.25"/>
    <row r="11055" hidden="1" x14ac:dyDescent="0.25"/>
    <row r="11056" hidden="1" x14ac:dyDescent="0.25"/>
    <row r="11057" hidden="1" x14ac:dyDescent="0.25"/>
    <row r="11058" hidden="1" x14ac:dyDescent="0.25"/>
    <row r="11059" hidden="1" x14ac:dyDescent="0.25"/>
    <row r="11060" hidden="1" x14ac:dyDescent="0.25"/>
    <row r="11061" hidden="1" x14ac:dyDescent="0.25"/>
    <row r="11062" hidden="1" x14ac:dyDescent="0.25"/>
    <row r="11063" hidden="1" x14ac:dyDescent="0.25"/>
    <row r="11064" hidden="1" x14ac:dyDescent="0.25"/>
    <row r="11065" hidden="1" x14ac:dyDescent="0.25"/>
    <row r="11066" hidden="1" x14ac:dyDescent="0.25"/>
    <row r="11067" hidden="1" x14ac:dyDescent="0.25"/>
    <row r="11068" hidden="1" x14ac:dyDescent="0.25"/>
    <row r="11069" hidden="1" x14ac:dyDescent="0.25"/>
    <row r="11070" hidden="1" x14ac:dyDescent="0.25"/>
    <row r="11071" hidden="1" x14ac:dyDescent="0.25"/>
    <row r="11072" hidden="1" x14ac:dyDescent="0.25"/>
    <row r="11073" hidden="1" x14ac:dyDescent="0.25"/>
    <row r="11074" hidden="1" x14ac:dyDescent="0.25"/>
    <row r="11075" hidden="1" x14ac:dyDescent="0.25"/>
    <row r="11076" hidden="1" x14ac:dyDescent="0.25"/>
    <row r="11077" hidden="1" x14ac:dyDescent="0.25"/>
    <row r="11078" hidden="1" x14ac:dyDescent="0.25"/>
    <row r="11079" hidden="1" x14ac:dyDescent="0.25"/>
    <row r="11080" hidden="1" x14ac:dyDescent="0.25"/>
    <row r="11081" hidden="1" x14ac:dyDescent="0.25"/>
    <row r="11082" hidden="1" x14ac:dyDescent="0.25"/>
    <row r="11083" hidden="1" x14ac:dyDescent="0.25"/>
    <row r="11084" hidden="1" x14ac:dyDescent="0.25"/>
    <row r="11085" hidden="1" x14ac:dyDescent="0.25"/>
    <row r="11086" hidden="1" x14ac:dyDescent="0.25"/>
    <row r="11087" hidden="1" x14ac:dyDescent="0.25"/>
    <row r="11088" hidden="1" x14ac:dyDescent="0.25"/>
    <row r="11089" hidden="1" x14ac:dyDescent="0.25"/>
    <row r="11090" hidden="1" x14ac:dyDescent="0.25"/>
    <row r="11091" hidden="1" x14ac:dyDescent="0.25"/>
    <row r="11092" hidden="1" x14ac:dyDescent="0.25"/>
    <row r="11093" hidden="1" x14ac:dyDescent="0.25"/>
    <row r="11094" hidden="1" x14ac:dyDescent="0.25"/>
    <row r="11095" hidden="1" x14ac:dyDescent="0.25"/>
    <row r="11096" hidden="1" x14ac:dyDescent="0.25"/>
    <row r="11097" hidden="1" x14ac:dyDescent="0.25"/>
    <row r="11098" hidden="1" x14ac:dyDescent="0.25"/>
    <row r="11099" hidden="1" x14ac:dyDescent="0.25"/>
    <row r="11100" hidden="1" x14ac:dyDescent="0.25"/>
    <row r="11101" hidden="1" x14ac:dyDescent="0.25"/>
    <row r="11102" hidden="1" x14ac:dyDescent="0.25"/>
    <row r="11103" hidden="1" x14ac:dyDescent="0.25"/>
    <row r="11104" hidden="1" x14ac:dyDescent="0.25"/>
    <row r="11105" hidden="1" x14ac:dyDescent="0.25"/>
    <row r="11106" hidden="1" x14ac:dyDescent="0.25"/>
    <row r="11107" hidden="1" x14ac:dyDescent="0.25"/>
    <row r="11108" hidden="1" x14ac:dyDescent="0.25"/>
    <row r="11109" hidden="1" x14ac:dyDescent="0.25"/>
    <row r="11110" hidden="1" x14ac:dyDescent="0.25"/>
    <row r="11111" hidden="1" x14ac:dyDescent="0.25"/>
    <row r="11112" hidden="1" x14ac:dyDescent="0.25"/>
    <row r="11113" hidden="1" x14ac:dyDescent="0.25"/>
    <row r="11114" hidden="1" x14ac:dyDescent="0.25"/>
    <row r="11115" hidden="1" x14ac:dyDescent="0.25"/>
    <row r="11116" hidden="1" x14ac:dyDescent="0.25"/>
    <row r="11117" hidden="1" x14ac:dyDescent="0.25"/>
    <row r="11118" hidden="1" x14ac:dyDescent="0.25"/>
    <row r="11119" hidden="1" x14ac:dyDescent="0.25"/>
    <row r="11120" hidden="1" x14ac:dyDescent="0.25"/>
    <row r="11121" hidden="1" x14ac:dyDescent="0.25"/>
    <row r="11122" hidden="1" x14ac:dyDescent="0.25"/>
    <row r="11123" hidden="1" x14ac:dyDescent="0.25"/>
    <row r="11124" hidden="1" x14ac:dyDescent="0.25"/>
    <row r="11125" hidden="1" x14ac:dyDescent="0.25"/>
    <row r="11126" hidden="1" x14ac:dyDescent="0.25"/>
    <row r="11127" hidden="1" x14ac:dyDescent="0.25"/>
    <row r="11128" hidden="1" x14ac:dyDescent="0.25"/>
    <row r="11129" hidden="1" x14ac:dyDescent="0.25"/>
    <row r="11130" hidden="1" x14ac:dyDescent="0.25"/>
    <row r="11131" hidden="1" x14ac:dyDescent="0.25"/>
    <row r="11132" hidden="1" x14ac:dyDescent="0.25"/>
    <row r="11133" hidden="1" x14ac:dyDescent="0.25"/>
    <row r="11134" hidden="1" x14ac:dyDescent="0.25"/>
    <row r="11135" hidden="1" x14ac:dyDescent="0.25"/>
    <row r="11136" hidden="1" x14ac:dyDescent="0.25"/>
    <row r="11137" hidden="1" x14ac:dyDescent="0.25"/>
    <row r="11138" hidden="1" x14ac:dyDescent="0.25"/>
    <row r="11139" hidden="1" x14ac:dyDescent="0.25"/>
    <row r="11140" hidden="1" x14ac:dyDescent="0.25"/>
    <row r="11141" hidden="1" x14ac:dyDescent="0.25"/>
    <row r="11142" hidden="1" x14ac:dyDescent="0.25"/>
    <row r="11143" hidden="1" x14ac:dyDescent="0.25"/>
    <row r="11144" hidden="1" x14ac:dyDescent="0.25"/>
    <row r="11145" hidden="1" x14ac:dyDescent="0.25"/>
    <row r="11146" hidden="1" x14ac:dyDescent="0.25"/>
    <row r="11147" hidden="1" x14ac:dyDescent="0.25"/>
    <row r="11148" hidden="1" x14ac:dyDescent="0.25"/>
    <row r="11149" hidden="1" x14ac:dyDescent="0.25"/>
    <row r="11150" hidden="1" x14ac:dyDescent="0.25"/>
    <row r="11151" hidden="1" x14ac:dyDescent="0.25"/>
    <row r="11152" hidden="1" x14ac:dyDescent="0.25"/>
    <row r="11153" hidden="1" x14ac:dyDescent="0.25"/>
    <row r="11154" hidden="1" x14ac:dyDescent="0.25"/>
    <row r="11155" hidden="1" x14ac:dyDescent="0.25"/>
    <row r="11156" hidden="1" x14ac:dyDescent="0.25"/>
    <row r="11157" hidden="1" x14ac:dyDescent="0.25"/>
    <row r="11158" hidden="1" x14ac:dyDescent="0.25"/>
    <row r="11159" hidden="1" x14ac:dyDescent="0.25"/>
    <row r="11160" hidden="1" x14ac:dyDescent="0.25"/>
    <row r="11161" hidden="1" x14ac:dyDescent="0.25"/>
    <row r="11162" hidden="1" x14ac:dyDescent="0.25"/>
    <row r="11163" hidden="1" x14ac:dyDescent="0.25"/>
    <row r="11164" hidden="1" x14ac:dyDescent="0.25"/>
    <row r="11165" hidden="1" x14ac:dyDescent="0.25"/>
    <row r="11166" hidden="1" x14ac:dyDescent="0.25"/>
    <row r="11167" hidden="1" x14ac:dyDescent="0.25"/>
    <row r="11168" hidden="1" x14ac:dyDescent="0.25"/>
    <row r="11169" hidden="1" x14ac:dyDescent="0.25"/>
    <row r="11170" hidden="1" x14ac:dyDescent="0.25"/>
    <row r="11171" hidden="1" x14ac:dyDescent="0.25"/>
    <row r="11172" hidden="1" x14ac:dyDescent="0.25"/>
    <row r="11173" hidden="1" x14ac:dyDescent="0.25"/>
    <row r="11174" hidden="1" x14ac:dyDescent="0.25"/>
    <row r="11175" hidden="1" x14ac:dyDescent="0.25"/>
    <row r="11176" hidden="1" x14ac:dyDescent="0.25"/>
    <row r="11177" hidden="1" x14ac:dyDescent="0.25"/>
    <row r="11178" hidden="1" x14ac:dyDescent="0.25"/>
    <row r="11179" hidden="1" x14ac:dyDescent="0.25"/>
    <row r="11180" hidden="1" x14ac:dyDescent="0.25"/>
    <row r="11181" hidden="1" x14ac:dyDescent="0.25"/>
    <row r="11182" hidden="1" x14ac:dyDescent="0.25"/>
    <row r="11183" hidden="1" x14ac:dyDescent="0.25"/>
    <row r="11184" hidden="1" x14ac:dyDescent="0.25"/>
    <row r="11185" hidden="1" x14ac:dyDescent="0.25"/>
    <row r="11186" hidden="1" x14ac:dyDescent="0.25"/>
    <row r="11187" hidden="1" x14ac:dyDescent="0.25"/>
    <row r="11188" hidden="1" x14ac:dyDescent="0.25"/>
    <row r="11189" hidden="1" x14ac:dyDescent="0.25"/>
    <row r="11190" hidden="1" x14ac:dyDescent="0.25"/>
    <row r="11191" hidden="1" x14ac:dyDescent="0.25"/>
    <row r="11192" hidden="1" x14ac:dyDescent="0.25"/>
    <row r="11193" hidden="1" x14ac:dyDescent="0.25"/>
    <row r="11194" hidden="1" x14ac:dyDescent="0.25"/>
    <row r="11195" hidden="1" x14ac:dyDescent="0.25"/>
    <row r="11196" hidden="1" x14ac:dyDescent="0.25"/>
    <row r="11197" hidden="1" x14ac:dyDescent="0.25"/>
    <row r="11198" hidden="1" x14ac:dyDescent="0.25"/>
    <row r="11199" hidden="1" x14ac:dyDescent="0.25"/>
    <row r="11200" hidden="1" x14ac:dyDescent="0.25"/>
    <row r="11201" hidden="1" x14ac:dyDescent="0.25"/>
    <row r="11202" hidden="1" x14ac:dyDescent="0.25"/>
    <row r="11203" hidden="1" x14ac:dyDescent="0.25"/>
    <row r="11204" hidden="1" x14ac:dyDescent="0.25"/>
    <row r="11205" hidden="1" x14ac:dyDescent="0.25"/>
    <row r="11206" hidden="1" x14ac:dyDescent="0.25"/>
    <row r="11207" hidden="1" x14ac:dyDescent="0.25"/>
    <row r="11208" hidden="1" x14ac:dyDescent="0.25"/>
    <row r="11209" hidden="1" x14ac:dyDescent="0.25"/>
    <row r="11210" hidden="1" x14ac:dyDescent="0.25"/>
    <row r="11211" hidden="1" x14ac:dyDescent="0.25"/>
    <row r="11212" hidden="1" x14ac:dyDescent="0.25"/>
    <row r="11213" hidden="1" x14ac:dyDescent="0.25"/>
    <row r="11214" hidden="1" x14ac:dyDescent="0.25"/>
    <row r="11215" hidden="1" x14ac:dyDescent="0.25"/>
    <row r="11216" hidden="1" x14ac:dyDescent="0.25"/>
    <row r="11217" hidden="1" x14ac:dyDescent="0.25"/>
    <row r="11218" hidden="1" x14ac:dyDescent="0.25"/>
    <row r="11219" hidden="1" x14ac:dyDescent="0.25"/>
    <row r="11220" hidden="1" x14ac:dyDescent="0.25"/>
    <row r="11221" hidden="1" x14ac:dyDescent="0.25"/>
    <row r="11222" hidden="1" x14ac:dyDescent="0.25"/>
    <row r="11223" hidden="1" x14ac:dyDescent="0.25"/>
    <row r="11224" hidden="1" x14ac:dyDescent="0.25"/>
    <row r="11225" hidden="1" x14ac:dyDescent="0.25"/>
    <row r="11226" hidden="1" x14ac:dyDescent="0.25"/>
    <row r="11227" hidden="1" x14ac:dyDescent="0.25"/>
    <row r="11228" hidden="1" x14ac:dyDescent="0.25"/>
    <row r="11229" hidden="1" x14ac:dyDescent="0.25"/>
    <row r="11230" hidden="1" x14ac:dyDescent="0.25"/>
    <row r="11231" hidden="1" x14ac:dyDescent="0.25"/>
    <row r="11232" hidden="1" x14ac:dyDescent="0.25"/>
    <row r="11233" hidden="1" x14ac:dyDescent="0.25"/>
    <row r="11234" hidden="1" x14ac:dyDescent="0.25"/>
    <row r="11235" hidden="1" x14ac:dyDescent="0.25"/>
    <row r="11236" hidden="1" x14ac:dyDescent="0.25"/>
    <row r="11237" hidden="1" x14ac:dyDescent="0.25"/>
    <row r="11238" hidden="1" x14ac:dyDescent="0.25"/>
    <row r="11239" hidden="1" x14ac:dyDescent="0.25"/>
    <row r="11240" hidden="1" x14ac:dyDescent="0.25"/>
    <row r="11241" hidden="1" x14ac:dyDescent="0.25"/>
    <row r="11242" hidden="1" x14ac:dyDescent="0.25"/>
    <row r="11243" hidden="1" x14ac:dyDescent="0.25"/>
    <row r="11244" hidden="1" x14ac:dyDescent="0.25"/>
    <row r="11245" hidden="1" x14ac:dyDescent="0.25"/>
    <row r="11246" hidden="1" x14ac:dyDescent="0.25"/>
    <row r="11247" hidden="1" x14ac:dyDescent="0.25"/>
    <row r="11248" hidden="1" x14ac:dyDescent="0.25"/>
    <row r="11249" hidden="1" x14ac:dyDescent="0.25"/>
    <row r="11250" hidden="1" x14ac:dyDescent="0.25"/>
    <row r="11251" hidden="1" x14ac:dyDescent="0.25"/>
    <row r="11252" hidden="1" x14ac:dyDescent="0.25"/>
    <row r="11253" hidden="1" x14ac:dyDescent="0.25"/>
    <row r="11254" hidden="1" x14ac:dyDescent="0.25"/>
    <row r="11255" hidden="1" x14ac:dyDescent="0.25"/>
    <row r="11256" hidden="1" x14ac:dyDescent="0.25"/>
    <row r="11257" hidden="1" x14ac:dyDescent="0.25"/>
    <row r="11258" hidden="1" x14ac:dyDescent="0.25"/>
    <row r="11259" hidden="1" x14ac:dyDescent="0.25"/>
    <row r="11260" hidden="1" x14ac:dyDescent="0.25"/>
    <row r="11261" hidden="1" x14ac:dyDescent="0.25"/>
    <row r="11262" hidden="1" x14ac:dyDescent="0.25"/>
    <row r="11263" hidden="1" x14ac:dyDescent="0.25"/>
    <row r="11264" hidden="1" x14ac:dyDescent="0.25"/>
    <row r="11265" hidden="1" x14ac:dyDescent="0.25"/>
    <row r="11266" hidden="1" x14ac:dyDescent="0.25"/>
    <row r="11267" hidden="1" x14ac:dyDescent="0.25"/>
    <row r="11268" hidden="1" x14ac:dyDescent="0.25"/>
    <row r="11269" hidden="1" x14ac:dyDescent="0.25"/>
    <row r="11270" hidden="1" x14ac:dyDescent="0.25"/>
    <row r="11271" hidden="1" x14ac:dyDescent="0.25"/>
    <row r="11272" hidden="1" x14ac:dyDescent="0.25"/>
    <row r="11273" hidden="1" x14ac:dyDescent="0.25"/>
    <row r="11274" hidden="1" x14ac:dyDescent="0.25"/>
    <row r="11275" hidden="1" x14ac:dyDescent="0.25"/>
    <row r="11276" hidden="1" x14ac:dyDescent="0.25"/>
    <row r="11277" hidden="1" x14ac:dyDescent="0.25"/>
    <row r="11278" hidden="1" x14ac:dyDescent="0.25"/>
    <row r="11279" hidden="1" x14ac:dyDescent="0.25"/>
    <row r="11280" hidden="1" x14ac:dyDescent="0.25"/>
    <row r="11281" hidden="1" x14ac:dyDescent="0.25"/>
    <row r="11282" hidden="1" x14ac:dyDescent="0.25"/>
    <row r="11283" hidden="1" x14ac:dyDescent="0.25"/>
    <row r="11284" hidden="1" x14ac:dyDescent="0.25"/>
    <row r="11285" hidden="1" x14ac:dyDescent="0.25"/>
    <row r="11286" hidden="1" x14ac:dyDescent="0.25"/>
    <row r="11287" hidden="1" x14ac:dyDescent="0.25"/>
    <row r="11288" hidden="1" x14ac:dyDescent="0.25"/>
    <row r="11289" hidden="1" x14ac:dyDescent="0.25"/>
    <row r="11290" hidden="1" x14ac:dyDescent="0.25"/>
    <row r="11291" hidden="1" x14ac:dyDescent="0.25"/>
    <row r="11292" hidden="1" x14ac:dyDescent="0.25"/>
    <row r="11293" hidden="1" x14ac:dyDescent="0.25"/>
    <row r="11294" hidden="1" x14ac:dyDescent="0.25"/>
    <row r="11295" hidden="1" x14ac:dyDescent="0.25"/>
    <row r="11296" hidden="1" x14ac:dyDescent="0.25"/>
    <row r="11297" hidden="1" x14ac:dyDescent="0.25"/>
    <row r="11298" hidden="1" x14ac:dyDescent="0.25"/>
    <row r="11299" hidden="1" x14ac:dyDescent="0.25"/>
    <row r="11300" hidden="1" x14ac:dyDescent="0.25"/>
    <row r="11301" hidden="1" x14ac:dyDescent="0.25"/>
    <row r="11302" hidden="1" x14ac:dyDescent="0.25"/>
    <row r="11303" hidden="1" x14ac:dyDescent="0.25"/>
    <row r="11304" hidden="1" x14ac:dyDescent="0.25"/>
    <row r="11305" hidden="1" x14ac:dyDescent="0.25"/>
    <row r="11306" hidden="1" x14ac:dyDescent="0.25"/>
    <row r="11307" hidden="1" x14ac:dyDescent="0.25"/>
    <row r="11308" hidden="1" x14ac:dyDescent="0.25"/>
    <row r="11309" hidden="1" x14ac:dyDescent="0.25"/>
    <row r="11310" hidden="1" x14ac:dyDescent="0.25"/>
    <row r="11311" hidden="1" x14ac:dyDescent="0.25"/>
    <row r="11312" hidden="1" x14ac:dyDescent="0.25"/>
    <row r="11313" hidden="1" x14ac:dyDescent="0.25"/>
    <row r="11314" hidden="1" x14ac:dyDescent="0.25"/>
    <row r="11315" hidden="1" x14ac:dyDescent="0.25"/>
    <row r="11316" hidden="1" x14ac:dyDescent="0.25"/>
    <row r="11317" hidden="1" x14ac:dyDescent="0.25"/>
    <row r="11318" hidden="1" x14ac:dyDescent="0.25"/>
    <row r="11319" hidden="1" x14ac:dyDescent="0.25"/>
    <row r="11320" hidden="1" x14ac:dyDescent="0.25"/>
    <row r="11321" hidden="1" x14ac:dyDescent="0.25"/>
    <row r="11322" hidden="1" x14ac:dyDescent="0.25"/>
    <row r="11323" hidden="1" x14ac:dyDescent="0.25"/>
    <row r="11324" hidden="1" x14ac:dyDescent="0.25"/>
    <row r="11325" hidden="1" x14ac:dyDescent="0.25"/>
    <row r="11326" hidden="1" x14ac:dyDescent="0.25"/>
    <row r="11327" hidden="1" x14ac:dyDescent="0.25"/>
    <row r="11328" hidden="1" x14ac:dyDescent="0.25"/>
    <row r="11329" hidden="1" x14ac:dyDescent="0.25"/>
    <row r="11330" hidden="1" x14ac:dyDescent="0.25"/>
    <row r="11331" hidden="1" x14ac:dyDescent="0.25"/>
    <row r="11332" hidden="1" x14ac:dyDescent="0.25"/>
    <row r="11333" hidden="1" x14ac:dyDescent="0.25"/>
    <row r="11334" hidden="1" x14ac:dyDescent="0.25"/>
    <row r="11335" hidden="1" x14ac:dyDescent="0.25"/>
    <row r="11336" hidden="1" x14ac:dyDescent="0.25"/>
    <row r="11337" hidden="1" x14ac:dyDescent="0.25"/>
    <row r="11338" hidden="1" x14ac:dyDescent="0.25"/>
    <row r="11339" hidden="1" x14ac:dyDescent="0.25"/>
    <row r="11340" hidden="1" x14ac:dyDescent="0.25"/>
    <row r="11341" hidden="1" x14ac:dyDescent="0.25"/>
    <row r="11342" hidden="1" x14ac:dyDescent="0.25"/>
    <row r="11343" hidden="1" x14ac:dyDescent="0.25"/>
    <row r="11344" hidden="1" x14ac:dyDescent="0.25"/>
    <row r="11345" hidden="1" x14ac:dyDescent="0.25"/>
    <row r="11346" hidden="1" x14ac:dyDescent="0.25"/>
    <row r="11347" hidden="1" x14ac:dyDescent="0.25"/>
    <row r="11348" hidden="1" x14ac:dyDescent="0.25"/>
    <row r="11349" hidden="1" x14ac:dyDescent="0.25"/>
    <row r="11350" hidden="1" x14ac:dyDescent="0.25"/>
    <row r="11351" hidden="1" x14ac:dyDescent="0.25"/>
    <row r="11352" hidden="1" x14ac:dyDescent="0.25"/>
    <row r="11353" hidden="1" x14ac:dyDescent="0.25"/>
    <row r="11354" hidden="1" x14ac:dyDescent="0.25"/>
    <row r="11355" hidden="1" x14ac:dyDescent="0.25"/>
    <row r="11356" hidden="1" x14ac:dyDescent="0.25"/>
    <row r="11357" hidden="1" x14ac:dyDescent="0.25"/>
    <row r="11358" hidden="1" x14ac:dyDescent="0.25"/>
    <row r="11359" hidden="1" x14ac:dyDescent="0.25"/>
    <row r="11360" hidden="1" x14ac:dyDescent="0.25"/>
    <row r="11361" hidden="1" x14ac:dyDescent="0.25"/>
    <row r="11362" hidden="1" x14ac:dyDescent="0.25"/>
    <row r="11363" hidden="1" x14ac:dyDescent="0.25"/>
    <row r="11364" hidden="1" x14ac:dyDescent="0.25"/>
    <row r="11365" hidden="1" x14ac:dyDescent="0.25"/>
    <row r="11366" hidden="1" x14ac:dyDescent="0.25"/>
    <row r="11367" hidden="1" x14ac:dyDescent="0.25"/>
    <row r="11368" hidden="1" x14ac:dyDescent="0.25"/>
    <row r="11369" hidden="1" x14ac:dyDescent="0.25"/>
    <row r="11370" hidden="1" x14ac:dyDescent="0.25"/>
    <row r="11371" hidden="1" x14ac:dyDescent="0.25"/>
    <row r="11372" hidden="1" x14ac:dyDescent="0.25"/>
    <row r="11373" hidden="1" x14ac:dyDescent="0.25"/>
    <row r="11374" hidden="1" x14ac:dyDescent="0.25"/>
    <row r="11375" hidden="1" x14ac:dyDescent="0.25"/>
    <row r="11376" hidden="1" x14ac:dyDescent="0.25"/>
    <row r="11377" hidden="1" x14ac:dyDescent="0.25"/>
    <row r="11378" hidden="1" x14ac:dyDescent="0.25"/>
    <row r="11379" hidden="1" x14ac:dyDescent="0.25"/>
    <row r="11380" hidden="1" x14ac:dyDescent="0.25"/>
    <row r="11381" hidden="1" x14ac:dyDescent="0.25"/>
    <row r="11382" hidden="1" x14ac:dyDescent="0.25"/>
    <row r="11383" hidden="1" x14ac:dyDescent="0.25"/>
    <row r="11384" hidden="1" x14ac:dyDescent="0.25"/>
    <row r="11385" hidden="1" x14ac:dyDescent="0.25"/>
    <row r="11386" hidden="1" x14ac:dyDescent="0.25"/>
    <row r="11387" hidden="1" x14ac:dyDescent="0.25"/>
    <row r="11388" hidden="1" x14ac:dyDescent="0.25"/>
    <row r="11389" hidden="1" x14ac:dyDescent="0.25"/>
    <row r="11390" hidden="1" x14ac:dyDescent="0.25"/>
    <row r="11391" hidden="1" x14ac:dyDescent="0.25"/>
    <row r="11392" hidden="1" x14ac:dyDescent="0.25"/>
    <row r="11393" hidden="1" x14ac:dyDescent="0.25"/>
    <row r="11394" hidden="1" x14ac:dyDescent="0.25"/>
    <row r="11395" hidden="1" x14ac:dyDescent="0.25"/>
    <row r="11396" hidden="1" x14ac:dyDescent="0.25"/>
    <row r="11397" hidden="1" x14ac:dyDescent="0.25"/>
    <row r="11398" hidden="1" x14ac:dyDescent="0.25"/>
    <row r="11399" hidden="1" x14ac:dyDescent="0.25"/>
    <row r="11400" hidden="1" x14ac:dyDescent="0.25"/>
    <row r="11401" hidden="1" x14ac:dyDescent="0.25"/>
    <row r="11402" hidden="1" x14ac:dyDescent="0.25"/>
    <row r="11403" hidden="1" x14ac:dyDescent="0.25"/>
    <row r="11404" hidden="1" x14ac:dyDescent="0.25"/>
    <row r="11405" hidden="1" x14ac:dyDescent="0.25"/>
    <row r="11406" hidden="1" x14ac:dyDescent="0.25"/>
    <row r="11407" hidden="1" x14ac:dyDescent="0.25"/>
    <row r="11408" hidden="1" x14ac:dyDescent="0.25"/>
    <row r="11409" hidden="1" x14ac:dyDescent="0.25"/>
    <row r="11410" hidden="1" x14ac:dyDescent="0.25"/>
    <row r="11411" hidden="1" x14ac:dyDescent="0.25"/>
    <row r="11412" hidden="1" x14ac:dyDescent="0.25"/>
    <row r="11413" hidden="1" x14ac:dyDescent="0.25"/>
    <row r="11414" hidden="1" x14ac:dyDescent="0.25"/>
    <row r="11415" hidden="1" x14ac:dyDescent="0.25"/>
    <row r="11416" hidden="1" x14ac:dyDescent="0.25"/>
    <row r="11417" hidden="1" x14ac:dyDescent="0.25"/>
    <row r="11418" hidden="1" x14ac:dyDescent="0.25"/>
    <row r="11419" hidden="1" x14ac:dyDescent="0.25"/>
    <row r="11420" hidden="1" x14ac:dyDescent="0.25"/>
    <row r="11421" hidden="1" x14ac:dyDescent="0.25"/>
    <row r="11422" hidden="1" x14ac:dyDescent="0.25"/>
    <row r="11423" hidden="1" x14ac:dyDescent="0.25"/>
    <row r="11424" hidden="1" x14ac:dyDescent="0.25"/>
    <row r="11425" hidden="1" x14ac:dyDescent="0.25"/>
    <row r="11426" hidden="1" x14ac:dyDescent="0.25"/>
    <row r="11427" hidden="1" x14ac:dyDescent="0.25"/>
    <row r="11428" hidden="1" x14ac:dyDescent="0.25"/>
    <row r="11429" hidden="1" x14ac:dyDescent="0.25"/>
    <row r="11430" hidden="1" x14ac:dyDescent="0.25"/>
    <row r="11431" hidden="1" x14ac:dyDescent="0.25"/>
    <row r="11432" hidden="1" x14ac:dyDescent="0.25"/>
    <row r="11433" hidden="1" x14ac:dyDescent="0.25"/>
    <row r="11434" hidden="1" x14ac:dyDescent="0.25"/>
    <row r="11435" hidden="1" x14ac:dyDescent="0.25"/>
    <row r="11436" hidden="1" x14ac:dyDescent="0.25"/>
    <row r="11437" hidden="1" x14ac:dyDescent="0.25"/>
    <row r="11438" hidden="1" x14ac:dyDescent="0.25"/>
    <row r="11439" hidden="1" x14ac:dyDescent="0.25"/>
    <row r="11440" hidden="1" x14ac:dyDescent="0.25"/>
    <row r="11441" hidden="1" x14ac:dyDescent="0.25"/>
    <row r="11442" hidden="1" x14ac:dyDescent="0.25"/>
    <row r="11443" hidden="1" x14ac:dyDescent="0.25"/>
    <row r="11444" hidden="1" x14ac:dyDescent="0.25"/>
    <row r="11445" hidden="1" x14ac:dyDescent="0.25"/>
    <row r="11446" hidden="1" x14ac:dyDescent="0.25"/>
    <row r="11447" hidden="1" x14ac:dyDescent="0.25"/>
    <row r="11448" hidden="1" x14ac:dyDescent="0.25"/>
    <row r="11449" hidden="1" x14ac:dyDescent="0.25"/>
    <row r="11450" hidden="1" x14ac:dyDescent="0.25"/>
    <row r="11451" hidden="1" x14ac:dyDescent="0.25"/>
    <row r="11452" hidden="1" x14ac:dyDescent="0.25"/>
    <row r="11453" hidden="1" x14ac:dyDescent="0.25"/>
    <row r="11454" hidden="1" x14ac:dyDescent="0.25"/>
    <row r="11455" hidden="1" x14ac:dyDescent="0.25"/>
    <row r="11456" hidden="1" x14ac:dyDescent="0.25"/>
    <row r="11457" hidden="1" x14ac:dyDescent="0.25"/>
    <row r="11458" hidden="1" x14ac:dyDescent="0.25"/>
    <row r="11459" hidden="1" x14ac:dyDescent="0.25"/>
    <row r="11460" hidden="1" x14ac:dyDescent="0.25"/>
    <row r="11461" hidden="1" x14ac:dyDescent="0.25"/>
    <row r="11462" hidden="1" x14ac:dyDescent="0.25"/>
    <row r="11463" hidden="1" x14ac:dyDescent="0.25"/>
    <row r="11464" hidden="1" x14ac:dyDescent="0.25"/>
    <row r="11465" hidden="1" x14ac:dyDescent="0.25"/>
    <row r="11466" hidden="1" x14ac:dyDescent="0.25"/>
    <row r="11467" hidden="1" x14ac:dyDescent="0.25"/>
    <row r="11468" hidden="1" x14ac:dyDescent="0.25"/>
    <row r="11469" hidden="1" x14ac:dyDescent="0.25"/>
    <row r="11470" hidden="1" x14ac:dyDescent="0.25"/>
    <row r="11471" hidden="1" x14ac:dyDescent="0.25"/>
    <row r="11472" hidden="1" x14ac:dyDescent="0.25"/>
    <row r="11473" hidden="1" x14ac:dyDescent="0.25"/>
    <row r="11474" hidden="1" x14ac:dyDescent="0.25"/>
    <row r="11475" hidden="1" x14ac:dyDescent="0.25"/>
    <row r="11476" hidden="1" x14ac:dyDescent="0.25"/>
    <row r="11477" hidden="1" x14ac:dyDescent="0.25"/>
    <row r="11478" hidden="1" x14ac:dyDescent="0.25"/>
    <row r="11479" hidden="1" x14ac:dyDescent="0.25"/>
    <row r="11480" hidden="1" x14ac:dyDescent="0.25"/>
    <row r="11481" hidden="1" x14ac:dyDescent="0.25"/>
    <row r="11482" hidden="1" x14ac:dyDescent="0.25"/>
    <row r="11483" hidden="1" x14ac:dyDescent="0.25"/>
    <row r="11484" hidden="1" x14ac:dyDescent="0.25"/>
    <row r="11485" hidden="1" x14ac:dyDescent="0.25"/>
    <row r="11486" hidden="1" x14ac:dyDescent="0.25"/>
    <row r="11487" hidden="1" x14ac:dyDescent="0.25"/>
    <row r="11488" hidden="1" x14ac:dyDescent="0.25"/>
    <row r="11489" hidden="1" x14ac:dyDescent="0.25"/>
    <row r="11490" hidden="1" x14ac:dyDescent="0.25"/>
    <row r="11491" hidden="1" x14ac:dyDescent="0.25"/>
    <row r="11492" hidden="1" x14ac:dyDescent="0.25"/>
    <row r="11493" hidden="1" x14ac:dyDescent="0.25"/>
    <row r="11494" hidden="1" x14ac:dyDescent="0.25"/>
    <row r="11495" hidden="1" x14ac:dyDescent="0.25"/>
    <row r="11496" hidden="1" x14ac:dyDescent="0.25"/>
    <row r="11497" hidden="1" x14ac:dyDescent="0.25"/>
    <row r="11498" hidden="1" x14ac:dyDescent="0.25"/>
    <row r="11499" hidden="1" x14ac:dyDescent="0.25"/>
    <row r="11500" hidden="1" x14ac:dyDescent="0.25"/>
    <row r="11501" hidden="1" x14ac:dyDescent="0.25"/>
    <row r="11502" hidden="1" x14ac:dyDescent="0.25"/>
    <row r="11503" hidden="1" x14ac:dyDescent="0.25"/>
    <row r="11504" hidden="1" x14ac:dyDescent="0.25"/>
    <row r="11505" hidden="1" x14ac:dyDescent="0.25"/>
    <row r="11506" hidden="1" x14ac:dyDescent="0.25"/>
    <row r="11507" hidden="1" x14ac:dyDescent="0.25"/>
    <row r="11508" hidden="1" x14ac:dyDescent="0.25"/>
    <row r="11509" hidden="1" x14ac:dyDescent="0.25"/>
    <row r="11510" hidden="1" x14ac:dyDescent="0.25"/>
    <row r="11511" hidden="1" x14ac:dyDescent="0.25"/>
    <row r="11512" hidden="1" x14ac:dyDescent="0.25"/>
    <row r="11513" hidden="1" x14ac:dyDescent="0.25"/>
    <row r="11514" hidden="1" x14ac:dyDescent="0.25"/>
    <row r="11515" hidden="1" x14ac:dyDescent="0.25"/>
    <row r="11516" hidden="1" x14ac:dyDescent="0.25"/>
    <row r="11517" hidden="1" x14ac:dyDescent="0.25"/>
    <row r="11518" hidden="1" x14ac:dyDescent="0.25"/>
    <row r="11519" hidden="1" x14ac:dyDescent="0.25"/>
    <row r="11520" hidden="1" x14ac:dyDescent="0.25"/>
    <row r="11521" hidden="1" x14ac:dyDescent="0.25"/>
    <row r="11522" hidden="1" x14ac:dyDescent="0.25"/>
    <row r="11523" hidden="1" x14ac:dyDescent="0.25"/>
    <row r="11524" hidden="1" x14ac:dyDescent="0.25"/>
    <row r="11525" hidden="1" x14ac:dyDescent="0.25"/>
    <row r="11526" hidden="1" x14ac:dyDescent="0.25"/>
    <row r="11527" hidden="1" x14ac:dyDescent="0.25"/>
    <row r="11528" hidden="1" x14ac:dyDescent="0.25"/>
    <row r="11529" hidden="1" x14ac:dyDescent="0.25"/>
    <row r="11530" hidden="1" x14ac:dyDescent="0.25"/>
    <row r="11531" hidden="1" x14ac:dyDescent="0.25"/>
    <row r="11532" hidden="1" x14ac:dyDescent="0.25"/>
    <row r="11533" hidden="1" x14ac:dyDescent="0.25"/>
    <row r="11534" hidden="1" x14ac:dyDescent="0.25"/>
    <row r="11535" hidden="1" x14ac:dyDescent="0.25"/>
    <row r="11536" hidden="1" x14ac:dyDescent="0.25"/>
    <row r="11537" hidden="1" x14ac:dyDescent="0.25"/>
    <row r="11538" hidden="1" x14ac:dyDescent="0.25"/>
    <row r="11539" hidden="1" x14ac:dyDescent="0.25"/>
    <row r="11540" hidden="1" x14ac:dyDescent="0.25"/>
    <row r="11541" hidden="1" x14ac:dyDescent="0.25"/>
    <row r="11542" hidden="1" x14ac:dyDescent="0.25"/>
    <row r="11543" hidden="1" x14ac:dyDescent="0.25"/>
    <row r="11544" hidden="1" x14ac:dyDescent="0.25"/>
    <row r="11545" hidden="1" x14ac:dyDescent="0.25"/>
    <row r="11546" hidden="1" x14ac:dyDescent="0.25"/>
    <row r="11547" hidden="1" x14ac:dyDescent="0.25"/>
    <row r="11548" hidden="1" x14ac:dyDescent="0.25"/>
    <row r="11549" hidden="1" x14ac:dyDescent="0.25"/>
    <row r="11550" hidden="1" x14ac:dyDescent="0.25"/>
    <row r="11551" hidden="1" x14ac:dyDescent="0.25"/>
    <row r="11552" hidden="1" x14ac:dyDescent="0.25"/>
    <row r="11553" hidden="1" x14ac:dyDescent="0.25"/>
    <row r="11554" hidden="1" x14ac:dyDescent="0.25"/>
    <row r="11555" hidden="1" x14ac:dyDescent="0.25"/>
    <row r="11556" hidden="1" x14ac:dyDescent="0.25"/>
    <row r="11557" hidden="1" x14ac:dyDescent="0.25"/>
    <row r="11558" hidden="1" x14ac:dyDescent="0.25"/>
    <row r="11559" hidden="1" x14ac:dyDescent="0.25"/>
    <row r="11560" hidden="1" x14ac:dyDescent="0.25"/>
    <row r="11561" hidden="1" x14ac:dyDescent="0.25"/>
    <row r="11562" hidden="1" x14ac:dyDescent="0.25"/>
    <row r="11563" hidden="1" x14ac:dyDescent="0.25"/>
    <row r="11564" hidden="1" x14ac:dyDescent="0.25"/>
    <row r="11565" hidden="1" x14ac:dyDescent="0.25"/>
    <row r="11566" hidden="1" x14ac:dyDescent="0.25"/>
    <row r="11567" hidden="1" x14ac:dyDescent="0.25"/>
    <row r="11568" hidden="1" x14ac:dyDescent="0.25"/>
    <row r="11569" hidden="1" x14ac:dyDescent="0.25"/>
    <row r="11570" hidden="1" x14ac:dyDescent="0.25"/>
    <row r="11571" hidden="1" x14ac:dyDescent="0.25"/>
    <row r="11572" hidden="1" x14ac:dyDescent="0.25"/>
    <row r="11573" hidden="1" x14ac:dyDescent="0.25"/>
    <row r="11574" hidden="1" x14ac:dyDescent="0.25"/>
    <row r="11575" hidden="1" x14ac:dyDescent="0.25"/>
    <row r="11576" hidden="1" x14ac:dyDescent="0.25"/>
    <row r="11577" hidden="1" x14ac:dyDescent="0.25"/>
    <row r="11578" hidden="1" x14ac:dyDescent="0.25"/>
    <row r="11579" hidden="1" x14ac:dyDescent="0.25"/>
    <row r="11580" hidden="1" x14ac:dyDescent="0.25"/>
    <row r="11581" hidden="1" x14ac:dyDescent="0.25"/>
    <row r="11582" hidden="1" x14ac:dyDescent="0.25"/>
    <row r="11583" hidden="1" x14ac:dyDescent="0.25"/>
    <row r="11584" hidden="1" x14ac:dyDescent="0.25"/>
    <row r="11585" hidden="1" x14ac:dyDescent="0.25"/>
    <row r="11586" hidden="1" x14ac:dyDescent="0.25"/>
    <row r="11587" hidden="1" x14ac:dyDescent="0.25"/>
    <row r="11588" hidden="1" x14ac:dyDescent="0.25"/>
    <row r="11589" hidden="1" x14ac:dyDescent="0.25"/>
    <row r="11590" hidden="1" x14ac:dyDescent="0.25"/>
    <row r="11591" hidden="1" x14ac:dyDescent="0.25"/>
    <row r="11592" hidden="1" x14ac:dyDescent="0.25"/>
    <row r="11593" hidden="1" x14ac:dyDescent="0.25"/>
    <row r="11594" hidden="1" x14ac:dyDescent="0.25"/>
    <row r="11595" hidden="1" x14ac:dyDescent="0.25"/>
    <row r="11596" hidden="1" x14ac:dyDescent="0.25"/>
    <row r="11597" hidden="1" x14ac:dyDescent="0.25"/>
    <row r="11598" hidden="1" x14ac:dyDescent="0.25"/>
    <row r="11599" hidden="1" x14ac:dyDescent="0.25"/>
    <row r="11600" hidden="1" x14ac:dyDescent="0.25"/>
    <row r="11601" hidden="1" x14ac:dyDescent="0.25"/>
    <row r="11602" hidden="1" x14ac:dyDescent="0.25"/>
    <row r="11603" hidden="1" x14ac:dyDescent="0.25"/>
    <row r="11604" hidden="1" x14ac:dyDescent="0.25"/>
    <row r="11605" hidden="1" x14ac:dyDescent="0.25"/>
    <row r="11606" hidden="1" x14ac:dyDescent="0.25"/>
    <row r="11607" hidden="1" x14ac:dyDescent="0.25"/>
    <row r="11608" hidden="1" x14ac:dyDescent="0.25"/>
    <row r="11609" hidden="1" x14ac:dyDescent="0.25"/>
    <row r="11610" hidden="1" x14ac:dyDescent="0.25"/>
    <row r="11611" hidden="1" x14ac:dyDescent="0.25"/>
    <row r="11612" hidden="1" x14ac:dyDescent="0.25"/>
    <row r="11613" hidden="1" x14ac:dyDescent="0.25"/>
    <row r="11614" hidden="1" x14ac:dyDescent="0.25"/>
    <row r="11615" hidden="1" x14ac:dyDescent="0.25"/>
    <row r="11616" hidden="1" x14ac:dyDescent="0.25"/>
    <row r="11617" hidden="1" x14ac:dyDescent="0.25"/>
    <row r="11618" hidden="1" x14ac:dyDescent="0.25"/>
    <row r="11619" hidden="1" x14ac:dyDescent="0.25"/>
    <row r="11620" hidden="1" x14ac:dyDescent="0.25"/>
    <row r="11621" hidden="1" x14ac:dyDescent="0.25"/>
    <row r="11622" hidden="1" x14ac:dyDescent="0.25"/>
    <row r="11623" hidden="1" x14ac:dyDescent="0.25"/>
    <row r="11624" hidden="1" x14ac:dyDescent="0.25"/>
    <row r="11625" hidden="1" x14ac:dyDescent="0.25"/>
    <row r="11626" hidden="1" x14ac:dyDescent="0.25"/>
    <row r="11627" hidden="1" x14ac:dyDescent="0.25"/>
    <row r="11628" hidden="1" x14ac:dyDescent="0.25"/>
    <row r="11629" hidden="1" x14ac:dyDescent="0.25"/>
    <row r="11630" hidden="1" x14ac:dyDescent="0.25"/>
    <row r="11631" hidden="1" x14ac:dyDescent="0.25"/>
    <row r="11632" hidden="1" x14ac:dyDescent="0.25"/>
    <row r="11633" hidden="1" x14ac:dyDescent="0.25"/>
    <row r="11634" hidden="1" x14ac:dyDescent="0.25"/>
    <row r="11635" hidden="1" x14ac:dyDescent="0.25"/>
    <row r="11636" hidden="1" x14ac:dyDescent="0.25"/>
    <row r="11637" hidden="1" x14ac:dyDescent="0.25"/>
    <row r="11638" hidden="1" x14ac:dyDescent="0.25"/>
    <row r="11639" hidden="1" x14ac:dyDescent="0.25"/>
    <row r="11640" hidden="1" x14ac:dyDescent="0.25"/>
    <row r="11641" hidden="1" x14ac:dyDescent="0.25"/>
    <row r="11642" hidden="1" x14ac:dyDescent="0.25"/>
    <row r="11643" hidden="1" x14ac:dyDescent="0.25"/>
    <row r="11644" hidden="1" x14ac:dyDescent="0.25"/>
    <row r="11645" hidden="1" x14ac:dyDescent="0.25"/>
    <row r="11646" hidden="1" x14ac:dyDescent="0.25"/>
    <row r="11647" hidden="1" x14ac:dyDescent="0.25"/>
    <row r="11648" hidden="1" x14ac:dyDescent="0.25"/>
    <row r="11649" hidden="1" x14ac:dyDescent="0.25"/>
    <row r="11650" hidden="1" x14ac:dyDescent="0.25"/>
    <row r="11651" hidden="1" x14ac:dyDescent="0.25"/>
    <row r="11652" hidden="1" x14ac:dyDescent="0.25"/>
    <row r="11653" hidden="1" x14ac:dyDescent="0.25"/>
    <row r="11654" hidden="1" x14ac:dyDescent="0.25"/>
    <row r="11655" hidden="1" x14ac:dyDescent="0.25"/>
    <row r="11656" hidden="1" x14ac:dyDescent="0.25"/>
    <row r="11657" hidden="1" x14ac:dyDescent="0.25"/>
    <row r="11658" hidden="1" x14ac:dyDescent="0.25"/>
    <row r="11659" hidden="1" x14ac:dyDescent="0.25"/>
    <row r="11660" hidden="1" x14ac:dyDescent="0.25"/>
    <row r="11661" hidden="1" x14ac:dyDescent="0.25"/>
    <row r="11662" hidden="1" x14ac:dyDescent="0.25"/>
    <row r="11663" hidden="1" x14ac:dyDescent="0.25"/>
    <row r="11664" hidden="1" x14ac:dyDescent="0.25"/>
    <row r="11665" hidden="1" x14ac:dyDescent="0.25"/>
    <row r="11666" hidden="1" x14ac:dyDescent="0.25"/>
    <row r="11667" hidden="1" x14ac:dyDescent="0.25"/>
    <row r="11668" hidden="1" x14ac:dyDescent="0.25"/>
    <row r="11669" hidden="1" x14ac:dyDescent="0.25"/>
    <row r="11670" hidden="1" x14ac:dyDescent="0.25"/>
    <row r="11671" hidden="1" x14ac:dyDescent="0.25"/>
    <row r="11672" hidden="1" x14ac:dyDescent="0.25"/>
    <row r="11673" hidden="1" x14ac:dyDescent="0.25"/>
    <row r="11674" hidden="1" x14ac:dyDescent="0.25"/>
    <row r="11675" hidden="1" x14ac:dyDescent="0.25"/>
    <row r="11676" hidden="1" x14ac:dyDescent="0.25"/>
    <row r="11677" hidden="1" x14ac:dyDescent="0.25"/>
    <row r="11678" hidden="1" x14ac:dyDescent="0.25"/>
    <row r="11679" hidden="1" x14ac:dyDescent="0.25"/>
    <row r="11680" hidden="1" x14ac:dyDescent="0.25"/>
    <row r="11681" hidden="1" x14ac:dyDescent="0.25"/>
    <row r="11682" hidden="1" x14ac:dyDescent="0.25"/>
    <row r="11683" hidden="1" x14ac:dyDescent="0.25"/>
    <row r="11684" hidden="1" x14ac:dyDescent="0.25"/>
    <row r="11685" hidden="1" x14ac:dyDescent="0.25"/>
    <row r="11686" hidden="1" x14ac:dyDescent="0.25"/>
    <row r="11687" hidden="1" x14ac:dyDescent="0.25"/>
    <row r="11688" hidden="1" x14ac:dyDescent="0.25"/>
    <row r="11689" hidden="1" x14ac:dyDescent="0.25"/>
    <row r="11690" hidden="1" x14ac:dyDescent="0.25"/>
    <row r="11691" hidden="1" x14ac:dyDescent="0.25"/>
    <row r="11692" hidden="1" x14ac:dyDescent="0.25"/>
    <row r="11693" hidden="1" x14ac:dyDescent="0.25"/>
    <row r="11694" hidden="1" x14ac:dyDescent="0.25"/>
    <row r="11695" hidden="1" x14ac:dyDescent="0.25"/>
    <row r="11696" hidden="1" x14ac:dyDescent="0.25"/>
    <row r="11697" hidden="1" x14ac:dyDescent="0.25"/>
    <row r="11698" hidden="1" x14ac:dyDescent="0.25"/>
    <row r="11699" hidden="1" x14ac:dyDescent="0.25"/>
    <row r="11700" hidden="1" x14ac:dyDescent="0.25"/>
    <row r="11701" hidden="1" x14ac:dyDescent="0.25"/>
    <row r="11702" hidden="1" x14ac:dyDescent="0.25"/>
    <row r="11703" hidden="1" x14ac:dyDescent="0.25"/>
    <row r="11704" hidden="1" x14ac:dyDescent="0.25"/>
    <row r="11705" hidden="1" x14ac:dyDescent="0.25"/>
    <row r="11706" hidden="1" x14ac:dyDescent="0.25"/>
    <row r="11707" hidden="1" x14ac:dyDescent="0.25"/>
    <row r="11708" hidden="1" x14ac:dyDescent="0.25"/>
    <row r="11709" hidden="1" x14ac:dyDescent="0.25"/>
    <row r="11710" hidden="1" x14ac:dyDescent="0.25"/>
    <row r="11711" hidden="1" x14ac:dyDescent="0.25"/>
    <row r="11712" hidden="1" x14ac:dyDescent="0.25"/>
    <row r="11713" hidden="1" x14ac:dyDescent="0.25"/>
    <row r="11714" hidden="1" x14ac:dyDescent="0.25"/>
    <row r="11715" hidden="1" x14ac:dyDescent="0.25"/>
    <row r="11716" hidden="1" x14ac:dyDescent="0.25"/>
    <row r="11717" hidden="1" x14ac:dyDescent="0.25"/>
    <row r="11718" hidden="1" x14ac:dyDescent="0.25"/>
    <row r="11719" hidden="1" x14ac:dyDescent="0.25"/>
    <row r="11720" hidden="1" x14ac:dyDescent="0.25"/>
    <row r="11721" hidden="1" x14ac:dyDescent="0.25"/>
    <row r="11722" hidden="1" x14ac:dyDescent="0.25"/>
    <row r="11723" hidden="1" x14ac:dyDescent="0.25"/>
    <row r="11724" hidden="1" x14ac:dyDescent="0.25"/>
    <row r="11725" hidden="1" x14ac:dyDescent="0.25"/>
    <row r="11726" hidden="1" x14ac:dyDescent="0.25"/>
    <row r="11727" hidden="1" x14ac:dyDescent="0.25"/>
    <row r="11728" hidden="1" x14ac:dyDescent="0.25"/>
    <row r="11729" hidden="1" x14ac:dyDescent="0.25"/>
    <row r="11730" hidden="1" x14ac:dyDescent="0.25"/>
    <row r="11731" hidden="1" x14ac:dyDescent="0.25"/>
    <row r="11732" hidden="1" x14ac:dyDescent="0.25"/>
    <row r="11733" hidden="1" x14ac:dyDescent="0.25"/>
    <row r="11734" hidden="1" x14ac:dyDescent="0.25"/>
    <row r="11735" hidden="1" x14ac:dyDescent="0.25"/>
    <row r="11736" hidden="1" x14ac:dyDescent="0.25"/>
    <row r="11737" hidden="1" x14ac:dyDescent="0.25"/>
    <row r="11738" hidden="1" x14ac:dyDescent="0.25"/>
    <row r="11739" hidden="1" x14ac:dyDescent="0.25"/>
    <row r="11740" hidden="1" x14ac:dyDescent="0.25"/>
    <row r="11741" hidden="1" x14ac:dyDescent="0.25"/>
    <row r="11742" hidden="1" x14ac:dyDescent="0.25"/>
    <row r="11743" hidden="1" x14ac:dyDescent="0.25"/>
    <row r="11744" hidden="1" x14ac:dyDescent="0.25"/>
    <row r="11745" hidden="1" x14ac:dyDescent="0.25"/>
    <row r="11746" hidden="1" x14ac:dyDescent="0.25"/>
    <row r="11747" hidden="1" x14ac:dyDescent="0.25"/>
    <row r="11748" hidden="1" x14ac:dyDescent="0.25"/>
    <row r="11749" hidden="1" x14ac:dyDescent="0.25"/>
    <row r="11750" hidden="1" x14ac:dyDescent="0.25"/>
    <row r="11751" hidden="1" x14ac:dyDescent="0.25"/>
    <row r="11752" hidden="1" x14ac:dyDescent="0.25"/>
    <row r="11753" hidden="1" x14ac:dyDescent="0.25"/>
    <row r="11754" hidden="1" x14ac:dyDescent="0.25"/>
    <row r="11755" hidden="1" x14ac:dyDescent="0.25"/>
    <row r="11756" hidden="1" x14ac:dyDescent="0.25"/>
    <row r="11757" hidden="1" x14ac:dyDescent="0.25"/>
    <row r="11758" hidden="1" x14ac:dyDescent="0.25"/>
    <row r="11759" hidden="1" x14ac:dyDescent="0.25"/>
    <row r="11760" hidden="1" x14ac:dyDescent="0.25"/>
    <row r="11761" hidden="1" x14ac:dyDescent="0.25"/>
    <row r="11762" hidden="1" x14ac:dyDescent="0.25"/>
    <row r="11763" hidden="1" x14ac:dyDescent="0.25"/>
    <row r="11764" hidden="1" x14ac:dyDescent="0.25"/>
    <row r="11765" hidden="1" x14ac:dyDescent="0.25"/>
    <row r="11766" hidden="1" x14ac:dyDescent="0.25"/>
    <row r="11767" hidden="1" x14ac:dyDescent="0.25"/>
    <row r="11768" hidden="1" x14ac:dyDescent="0.25"/>
    <row r="11769" hidden="1" x14ac:dyDescent="0.25"/>
    <row r="11770" hidden="1" x14ac:dyDescent="0.25"/>
    <row r="11771" hidden="1" x14ac:dyDescent="0.25"/>
    <row r="11772" hidden="1" x14ac:dyDescent="0.25"/>
    <row r="11773" hidden="1" x14ac:dyDescent="0.25"/>
    <row r="11774" hidden="1" x14ac:dyDescent="0.25"/>
    <row r="11775" hidden="1" x14ac:dyDescent="0.25"/>
    <row r="11776" hidden="1" x14ac:dyDescent="0.25"/>
    <row r="11777" hidden="1" x14ac:dyDescent="0.25"/>
    <row r="11778" hidden="1" x14ac:dyDescent="0.25"/>
    <row r="11779" hidden="1" x14ac:dyDescent="0.25"/>
    <row r="11780" hidden="1" x14ac:dyDescent="0.25"/>
    <row r="11781" hidden="1" x14ac:dyDescent="0.25"/>
    <row r="11782" hidden="1" x14ac:dyDescent="0.25"/>
    <row r="11783" hidden="1" x14ac:dyDescent="0.25"/>
    <row r="11784" hidden="1" x14ac:dyDescent="0.25"/>
    <row r="11785" hidden="1" x14ac:dyDescent="0.25"/>
    <row r="11786" hidden="1" x14ac:dyDescent="0.25"/>
    <row r="11787" hidden="1" x14ac:dyDescent="0.25"/>
    <row r="11788" hidden="1" x14ac:dyDescent="0.25"/>
    <row r="11789" hidden="1" x14ac:dyDescent="0.25"/>
    <row r="11790" hidden="1" x14ac:dyDescent="0.25"/>
    <row r="11791" hidden="1" x14ac:dyDescent="0.25"/>
    <row r="11792" hidden="1" x14ac:dyDescent="0.25"/>
    <row r="11793" hidden="1" x14ac:dyDescent="0.25"/>
    <row r="11794" hidden="1" x14ac:dyDescent="0.25"/>
    <row r="11795" hidden="1" x14ac:dyDescent="0.25"/>
    <row r="11796" hidden="1" x14ac:dyDescent="0.25"/>
    <row r="11797" hidden="1" x14ac:dyDescent="0.25"/>
    <row r="11798" hidden="1" x14ac:dyDescent="0.25"/>
    <row r="11799" hidden="1" x14ac:dyDescent="0.25"/>
    <row r="11800" hidden="1" x14ac:dyDescent="0.25"/>
    <row r="11801" hidden="1" x14ac:dyDescent="0.25"/>
    <row r="11802" hidden="1" x14ac:dyDescent="0.25"/>
    <row r="11803" hidden="1" x14ac:dyDescent="0.25"/>
    <row r="11804" hidden="1" x14ac:dyDescent="0.25"/>
    <row r="11805" hidden="1" x14ac:dyDescent="0.25"/>
    <row r="11806" hidden="1" x14ac:dyDescent="0.25"/>
    <row r="11807" hidden="1" x14ac:dyDescent="0.25"/>
    <row r="11808" hidden="1" x14ac:dyDescent="0.25"/>
    <row r="11809" hidden="1" x14ac:dyDescent="0.25"/>
    <row r="11810" hidden="1" x14ac:dyDescent="0.25"/>
    <row r="11811" hidden="1" x14ac:dyDescent="0.25"/>
    <row r="11812" hidden="1" x14ac:dyDescent="0.25"/>
    <row r="11813" hidden="1" x14ac:dyDescent="0.25"/>
    <row r="11814" hidden="1" x14ac:dyDescent="0.25"/>
    <row r="11815" hidden="1" x14ac:dyDescent="0.25"/>
    <row r="11816" hidden="1" x14ac:dyDescent="0.25"/>
    <row r="11817" hidden="1" x14ac:dyDescent="0.25"/>
    <row r="11818" hidden="1" x14ac:dyDescent="0.25"/>
    <row r="11819" hidden="1" x14ac:dyDescent="0.25"/>
    <row r="11820" hidden="1" x14ac:dyDescent="0.25"/>
    <row r="11821" hidden="1" x14ac:dyDescent="0.25"/>
    <row r="11822" hidden="1" x14ac:dyDescent="0.25"/>
    <row r="11823" hidden="1" x14ac:dyDescent="0.25"/>
    <row r="11824" hidden="1" x14ac:dyDescent="0.25"/>
    <row r="11825" hidden="1" x14ac:dyDescent="0.25"/>
    <row r="11826" hidden="1" x14ac:dyDescent="0.25"/>
    <row r="11827" hidden="1" x14ac:dyDescent="0.25"/>
    <row r="11828" hidden="1" x14ac:dyDescent="0.25"/>
    <row r="11829" hidden="1" x14ac:dyDescent="0.25"/>
    <row r="11830" hidden="1" x14ac:dyDescent="0.25"/>
    <row r="11831" hidden="1" x14ac:dyDescent="0.25"/>
    <row r="11832" hidden="1" x14ac:dyDescent="0.25"/>
    <row r="11833" hidden="1" x14ac:dyDescent="0.25"/>
    <row r="11834" hidden="1" x14ac:dyDescent="0.25"/>
    <row r="11835" hidden="1" x14ac:dyDescent="0.25"/>
    <row r="11836" hidden="1" x14ac:dyDescent="0.25"/>
    <row r="11837" hidden="1" x14ac:dyDescent="0.25"/>
    <row r="11838" hidden="1" x14ac:dyDescent="0.25"/>
    <row r="11839" hidden="1" x14ac:dyDescent="0.25"/>
    <row r="11840" hidden="1" x14ac:dyDescent="0.25"/>
    <row r="11841" hidden="1" x14ac:dyDescent="0.25"/>
    <row r="11842" hidden="1" x14ac:dyDescent="0.25"/>
    <row r="11843" hidden="1" x14ac:dyDescent="0.25"/>
    <row r="11844" hidden="1" x14ac:dyDescent="0.25"/>
    <row r="11845" hidden="1" x14ac:dyDescent="0.25"/>
    <row r="11846" hidden="1" x14ac:dyDescent="0.25"/>
    <row r="11847" hidden="1" x14ac:dyDescent="0.25"/>
    <row r="11848" hidden="1" x14ac:dyDescent="0.25"/>
    <row r="11849" hidden="1" x14ac:dyDescent="0.25"/>
    <row r="11850" hidden="1" x14ac:dyDescent="0.25"/>
    <row r="11851" hidden="1" x14ac:dyDescent="0.25"/>
    <row r="11852" hidden="1" x14ac:dyDescent="0.25"/>
    <row r="11853" hidden="1" x14ac:dyDescent="0.25"/>
    <row r="11854" hidden="1" x14ac:dyDescent="0.25"/>
    <row r="11855" hidden="1" x14ac:dyDescent="0.25"/>
    <row r="11856" hidden="1" x14ac:dyDescent="0.25"/>
    <row r="11857" hidden="1" x14ac:dyDescent="0.25"/>
    <row r="11858" hidden="1" x14ac:dyDescent="0.25"/>
    <row r="11859" hidden="1" x14ac:dyDescent="0.25"/>
    <row r="11860" hidden="1" x14ac:dyDescent="0.25"/>
    <row r="11861" hidden="1" x14ac:dyDescent="0.25"/>
    <row r="11862" hidden="1" x14ac:dyDescent="0.25"/>
    <row r="11863" hidden="1" x14ac:dyDescent="0.25"/>
    <row r="11864" hidden="1" x14ac:dyDescent="0.25"/>
    <row r="11865" hidden="1" x14ac:dyDescent="0.25"/>
    <row r="11866" hidden="1" x14ac:dyDescent="0.25"/>
    <row r="11867" hidden="1" x14ac:dyDescent="0.25"/>
    <row r="11868" hidden="1" x14ac:dyDescent="0.25"/>
    <row r="11869" hidden="1" x14ac:dyDescent="0.25"/>
    <row r="11870" hidden="1" x14ac:dyDescent="0.25"/>
    <row r="11871" hidden="1" x14ac:dyDescent="0.25"/>
    <row r="11872" hidden="1" x14ac:dyDescent="0.25"/>
    <row r="11873" hidden="1" x14ac:dyDescent="0.25"/>
    <row r="11874" hidden="1" x14ac:dyDescent="0.25"/>
    <row r="11875" hidden="1" x14ac:dyDescent="0.25"/>
    <row r="11876" hidden="1" x14ac:dyDescent="0.25"/>
    <row r="11877" hidden="1" x14ac:dyDescent="0.25"/>
    <row r="11878" hidden="1" x14ac:dyDescent="0.25"/>
    <row r="11879" hidden="1" x14ac:dyDescent="0.25"/>
    <row r="11880" hidden="1" x14ac:dyDescent="0.25"/>
    <row r="11881" hidden="1" x14ac:dyDescent="0.25"/>
    <row r="11882" hidden="1" x14ac:dyDescent="0.25"/>
    <row r="11883" hidden="1" x14ac:dyDescent="0.25"/>
    <row r="11884" hidden="1" x14ac:dyDescent="0.25"/>
    <row r="11885" hidden="1" x14ac:dyDescent="0.25"/>
    <row r="11886" hidden="1" x14ac:dyDescent="0.25"/>
    <row r="11887" hidden="1" x14ac:dyDescent="0.25"/>
    <row r="11888" hidden="1" x14ac:dyDescent="0.25"/>
    <row r="11889" hidden="1" x14ac:dyDescent="0.25"/>
    <row r="11890" hidden="1" x14ac:dyDescent="0.25"/>
    <row r="11891" hidden="1" x14ac:dyDescent="0.25"/>
    <row r="11892" hidden="1" x14ac:dyDescent="0.25"/>
    <row r="11893" hidden="1" x14ac:dyDescent="0.25"/>
    <row r="11894" hidden="1" x14ac:dyDescent="0.25"/>
    <row r="11895" hidden="1" x14ac:dyDescent="0.25"/>
    <row r="11896" hidden="1" x14ac:dyDescent="0.25"/>
    <row r="11897" hidden="1" x14ac:dyDescent="0.25"/>
    <row r="11898" hidden="1" x14ac:dyDescent="0.25"/>
    <row r="11899" hidden="1" x14ac:dyDescent="0.25"/>
    <row r="11900" hidden="1" x14ac:dyDescent="0.25"/>
    <row r="11901" hidden="1" x14ac:dyDescent="0.25"/>
    <row r="11902" hidden="1" x14ac:dyDescent="0.25"/>
    <row r="11903" hidden="1" x14ac:dyDescent="0.25"/>
    <row r="11904" hidden="1" x14ac:dyDescent="0.25"/>
    <row r="11905" hidden="1" x14ac:dyDescent="0.25"/>
    <row r="11906" hidden="1" x14ac:dyDescent="0.25"/>
    <row r="11907" hidden="1" x14ac:dyDescent="0.25"/>
    <row r="11908" hidden="1" x14ac:dyDescent="0.25"/>
    <row r="11909" hidden="1" x14ac:dyDescent="0.25"/>
    <row r="11910" hidden="1" x14ac:dyDescent="0.25"/>
    <row r="11911" hidden="1" x14ac:dyDescent="0.25"/>
    <row r="11912" hidden="1" x14ac:dyDescent="0.25"/>
    <row r="11913" hidden="1" x14ac:dyDescent="0.25"/>
    <row r="11914" hidden="1" x14ac:dyDescent="0.25"/>
    <row r="11915" hidden="1" x14ac:dyDescent="0.25"/>
    <row r="11916" hidden="1" x14ac:dyDescent="0.25"/>
    <row r="11917" hidden="1" x14ac:dyDescent="0.25"/>
    <row r="11918" hidden="1" x14ac:dyDescent="0.25"/>
    <row r="11919" hidden="1" x14ac:dyDescent="0.25"/>
    <row r="11920" hidden="1" x14ac:dyDescent="0.25"/>
    <row r="11921" hidden="1" x14ac:dyDescent="0.25"/>
    <row r="11922" hidden="1" x14ac:dyDescent="0.25"/>
    <row r="11923" hidden="1" x14ac:dyDescent="0.25"/>
    <row r="11924" hidden="1" x14ac:dyDescent="0.25"/>
    <row r="11925" hidden="1" x14ac:dyDescent="0.25"/>
    <row r="11926" hidden="1" x14ac:dyDescent="0.25"/>
    <row r="11927" hidden="1" x14ac:dyDescent="0.25"/>
    <row r="11928" hidden="1" x14ac:dyDescent="0.25"/>
    <row r="11929" hidden="1" x14ac:dyDescent="0.25"/>
    <row r="11930" hidden="1" x14ac:dyDescent="0.25"/>
    <row r="11931" hidden="1" x14ac:dyDescent="0.25"/>
    <row r="11932" hidden="1" x14ac:dyDescent="0.25"/>
    <row r="11933" hidden="1" x14ac:dyDescent="0.25"/>
    <row r="11934" hidden="1" x14ac:dyDescent="0.25"/>
    <row r="11935" hidden="1" x14ac:dyDescent="0.25"/>
    <row r="11936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hidden="1" x14ac:dyDescent="0.25"/>
    <row r="11986" hidden="1" x14ac:dyDescent="0.25"/>
    <row r="11987" hidden="1" x14ac:dyDescent="0.25"/>
    <row r="11988" hidden="1" x14ac:dyDescent="0.25"/>
    <row r="11989" hidden="1" x14ac:dyDescent="0.25"/>
    <row r="11990" hidden="1" x14ac:dyDescent="0.25"/>
    <row r="11991" hidden="1" x14ac:dyDescent="0.25"/>
    <row r="11992" hidden="1" x14ac:dyDescent="0.25"/>
    <row r="11993" hidden="1" x14ac:dyDescent="0.25"/>
    <row r="11994" hidden="1" x14ac:dyDescent="0.25"/>
    <row r="11995" hidden="1" x14ac:dyDescent="0.25"/>
    <row r="11996" hidden="1" x14ac:dyDescent="0.25"/>
    <row r="11997" hidden="1" x14ac:dyDescent="0.25"/>
    <row r="11998" hidden="1" x14ac:dyDescent="0.25"/>
    <row r="11999" hidden="1" x14ac:dyDescent="0.25"/>
    <row r="12000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hidden="1" x14ac:dyDescent="0.25"/>
    <row r="12050" hidden="1" x14ac:dyDescent="0.25"/>
    <row r="12051" hidden="1" x14ac:dyDescent="0.25"/>
    <row r="12052" hidden="1" x14ac:dyDescent="0.25"/>
    <row r="12053" hidden="1" x14ac:dyDescent="0.25"/>
    <row r="12054" hidden="1" x14ac:dyDescent="0.25"/>
    <row r="12055" hidden="1" x14ac:dyDescent="0.25"/>
    <row r="12056" hidden="1" x14ac:dyDescent="0.25"/>
    <row r="12057" hidden="1" x14ac:dyDescent="0.25"/>
    <row r="12058" hidden="1" x14ac:dyDescent="0.25"/>
    <row r="12059" hidden="1" x14ac:dyDescent="0.25"/>
    <row r="12060" hidden="1" x14ac:dyDescent="0.25"/>
    <row r="12061" hidden="1" x14ac:dyDescent="0.25"/>
    <row r="12062" hidden="1" x14ac:dyDescent="0.25"/>
    <row r="12063" hidden="1" x14ac:dyDescent="0.25"/>
    <row r="12064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hidden="1" x14ac:dyDescent="0.25"/>
    <row r="12114" hidden="1" x14ac:dyDescent="0.25"/>
    <row r="12115" hidden="1" x14ac:dyDescent="0.25"/>
    <row r="12116" hidden="1" x14ac:dyDescent="0.25"/>
    <row r="12117" hidden="1" x14ac:dyDescent="0.25"/>
    <row r="12118" hidden="1" x14ac:dyDescent="0.25"/>
    <row r="12119" hidden="1" x14ac:dyDescent="0.25"/>
    <row r="12120" hidden="1" x14ac:dyDescent="0.25"/>
    <row r="12121" hidden="1" x14ac:dyDescent="0.25"/>
    <row r="12122" hidden="1" x14ac:dyDescent="0.25"/>
    <row r="12123" hidden="1" x14ac:dyDescent="0.25"/>
    <row r="12124" hidden="1" x14ac:dyDescent="0.25"/>
    <row r="12125" hidden="1" x14ac:dyDescent="0.25"/>
    <row r="12126" hidden="1" x14ac:dyDescent="0.25"/>
    <row r="12127" hidden="1" x14ac:dyDescent="0.25"/>
    <row r="12128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hidden="1" x14ac:dyDescent="0.25"/>
    <row r="12178" hidden="1" x14ac:dyDescent="0.25"/>
    <row r="12179" hidden="1" x14ac:dyDescent="0.25"/>
    <row r="12180" hidden="1" x14ac:dyDescent="0.25"/>
    <row r="12181" hidden="1" x14ac:dyDescent="0.25"/>
    <row r="12182" hidden="1" x14ac:dyDescent="0.25"/>
    <row r="12183" hidden="1" x14ac:dyDescent="0.25"/>
    <row r="12184" hidden="1" x14ac:dyDescent="0.25"/>
    <row r="12185" hidden="1" x14ac:dyDescent="0.25"/>
    <row r="12186" hidden="1" x14ac:dyDescent="0.25"/>
    <row r="12187" hidden="1" x14ac:dyDescent="0.25"/>
    <row r="12188" hidden="1" x14ac:dyDescent="0.25"/>
    <row r="12189" hidden="1" x14ac:dyDescent="0.25"/>
    <row r="12190" hidden="1" x14ac:dyDescent="0.25"/>
    <row r="12191" hidden="1" x14ac:dyDescent="0.25"/>
    <row r="12192" hidden="1" x14ac:dyDescent="0.25"/>
    <row r="12193" hidden="1" x14ac:dyDescent="0.25"/>
    <row r="12194" hidden="1" x14ac:dyDescent="0.25"/>
    <row r="12195" hidden="1" x14ac:dyDescent="0.25"/>
    <row r="12196" hidden="1" x14ac:dyDescent="0.25"/>
    <row r="12197" hidden="1" x14ac:dyDescent="0.25"/>
    <row r="12198" hidden="1" x14ac:dyDescent="0.25"/>
    <row r="12199" hidden="1" x14ac:dyDescent="0.25"/>
    <row r="12200" hidden="1" x14ac:dyDescent="0.25"/>
    <row r="12201" hidden="1" x14ac:dyDescent="0.25"/>
    <row r="12202" hidden="1" x14ac:dyDescent="0.25"/>
    <row r="12203" hidden="1" x14ac:dyDescent="0.25"/>
    <row r="12204" hidden="1" x14ac:dyDescent="0.25"/>
    <row r="12205" hidden="1" x14ac:dyDescent="0.25"/>
    <row r="12206" hidden="1" x14ac:dyDescent="0.25"/>
    <row r="12207" hidden="1" x14ac:dyDescent="0.25"/>
    <row r="12208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hidden="1" x14ac:dyDescent="0.25"/>
    <row r="12258" hidden="1" x14ac:dyDescent="0.25"/>
    <row r="12259" hidden="1" x14ac:dyDescent="0.25"/>
    <row r="12260" hidden="1" x14ac:dyDescent="0.25"/>
    <row r="12261" hidden="1" x14ac:dyDescent="0.25"/>
    <row r="12262" hidden="1" x14ac:dyDescent="0.25"/>
    <row r="12263" hidden="1" x14ac:dyDescent="0.25"/>
    <row r="12264" hidden="1" x14ac:dyDescent="0.25"/>
    <row r="12265" hidden="1" x14ac:dyDescent="0.25"/>
    <row r="12266" hidden="1" x14ac:dyDescent="0.25"/>
    <row r="12267" hidden="1" x14ac:dyDescent="0.25"/>
    <row r="12268" hidden="1" x14ac:dyDescent="0.25"/>
    <row r="12269" hidden="1" x14ac:dyDescent="0.25"/>
    <row r="12270" hidden="1" x14ac:dyDescent="0.25"/>
    <row r="12271" hidden="1" x14ac:dyDescent="0.25"/>
    <row r="12272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hidden="1" x14ac:dyDescent="0.25"/>
    <row r="12322" hidden="1" x14ac:dyDescent="0.25"/>
    <row r="12323" hidden="1" x14ac:dyDescent="0.25"/>
    <row r="12324" hidden="1" x14ac:dyDescent="0.25"/>
    <row r="12325" hidden="1" x14ac:dyDescent="0.25"/>
    <row r="12326" hidden="1" x14ac:dyDescent="0.25"/>
    <row r="12327" hidden="1" x14ac:dyDescent="0.25"/>
    <row r="12328" hidden="1" x14ac:dyDescent="0.25"/>
    <row r="12329" hidden="1" x14ac:dyDescent="0.25"/>
    <row r="12330" hidden="1" x14ac:dyDescent="0.25"/>
    <row r="12331" hidden="1" x14ac:dyDescent="0.25"/>
    <row r="12332" hidden="1" x14ac:dyDescent="0.25"/>
    <row r="12333" hidden="1" x14ac:dyDescent="0.25"/>
    <row r="12334" hidden="1" x14ac:dyDescent="0.25"/>
    <row r="12335" hidden="1" x14ac:dyDescent="0.25"/>
    <row r="12336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hidden="1" x14ac:dyDescent="0.25"/>
    <row r="12386" hidden="1" x14ac:dyDescent="0.25"/>
    <row r="12387" hidden="1" x14ac:dyDescent="0.25"/>
    <row r="12388" hidden="1" x14ac:dyDescent="0.25"/>
    <row r="12389" hidden="1" x14ac:dyDescent="0.25"/>
    <row r="12390" hidden="1" x14ac:dyDescent="0.25"/>
    <row r="12391" hidden="1" x14ac:dyDescent="0.25"/>
    <row r="12392" hidden="1" x14ac:dyDescent="0.25"/>
    <row r="12393" hidden="1" x14ac:dyDescent="0.25"/>
    <row r="12394" hidden="1" x14ac:dyDescent="0.25"/>
    <row r="12395" hidden="1" x14ac:dyDescent="0.25"/>
    <row r="12396" hidden="1" x14ac:dyDescent="0.25"/>
    <row r="12397" hidden="1" x14ac:dyDescent="0.25"/>
    <row r="12398" hidden="1" x14ac:dyDescent="0.25"/>
    <row r="12399" hidden="1" x14ac:dyDescent="0.25"/>
    <row r="12400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hidden="1" x14ac:dyDescent="0.25"/>
    <row r="12450" hidden="1" x14ac:dyDescent="0.25"/>
    <row r="12451" hidden="1" x14ac:dyDescent="0.25"/>
    <row r="12452" hidden="1" x14ac:dyDescent="0.25"/>
    <row r="12453" hidden="1" x14ac:dyDescent="0.25"/>
    <row r="12454" hidden="1" x14ac:dyDescent="0.25"/>
    <row r="12455" hidden="1" x14ac:dyDescent="0.25"/>
    <row r="12456" hidden="1" x14ac:dyDescent="0.25"/>
    <row r="12457" hidden="1" x14ac:dyDescent="0.25"/>
    <row r="12458" hidden="1" x14ac:dyDescent="0.25"/>
    <row r="12459" hidden="1" x14ac:dyDescent="0.25"/>
    <row r="12460" hidden="1" x14ac:dyDescent="0.25"/>
    <row r="12461" hidden="1" x14ac:dyDescent="0.25"/>
    <row r="12462" hidden="1" x14ac:dyDescent="0.25"/>
    <row r="12463" hidden="1" x14ac:dyDescent="0.25"/>
    <row r="12464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hidden="1" x14ac:dyDescent="0.25"/>
    <row r="12514" hidden="1" x14ac:dyDescent="0.25"/>
    <row r="12515" hidden="1" x14ac:dyDescent="0.25"/>
    <row r="12516" hidden="1" x14ac:dyDescent="0.25"/>
    <row r="12517" hidden="1" x14ac:dyDescent="0.25"/>
    <row r="12518" hidden="1" x14ac:dyDescent="0.25"/>
    <row r="12519" hidden="1" x14ac:dyDescent="0.25"/>
    <row r="12520" hidden="1" x14ac:dyDescent="0.25"/>
    <row r="12521" hidden="1" x14ac:dyDescent="0.25"/>
    <row r="12522" hidden="1" x14ac:dyDescent="0.25"/>
    <row r="12523" hidden="1" x14ac:dyDescent="0.25"/>
    <row r="12524" hidden="1" x14ac:dyDescent="0.25"/>
    <row r="12525" hidden="1" x14ac:dyDescent="0.25"/>
    <row r="12526" hidden="1" x14ac:dyDescent="0.25"/>
    <row r="12527" hidden="1" x14ac:dyDescent="0.25"/>
    <row r="12528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hidden="1" x14ac:dyDescent="0.25"/>
    <row r="12562" hidden="1" x14ac:dyDescent="0.25"/>
    <row r="12563" hidden="1" x14ac:dyDescent="0.25"/>
    <row r="12564" hidden="1" x14ac:dyDescent="0.25"/>
    <row r="12565" hidden="1" x14ac:dyDescent="0.25"/>
    <row r="12566" hidden="1" x14ac:dyDescent="0.25"/>
    <row r="12567" hidden="1" x14ac:dyDescent="0.25"/>
    <row r="12568" hidden="1" x14ac:dyDescent="0.25"/>
    <row r="12569" hidden="1" x14ac:dyDescent="0.25"/>
    <row r="12570" hidden="1" x14ac:dyDescent="0.25"/>
    <row r="12571" hidden="1" x14ac:dyDescent="0.25"/>
    <row r="12572" hidden="1" x14ac:dyDescent="0.25"/>
    <row r="12573" hidden="1" x14ac:dyDescent="0.25"/>
    <row r="12574" hidden="1" x14ac:dyDescent="0.25"/>
    <row r="12575" hidden="1" x14ac:dyDescent="0.25"/>
    <row r="12576" hidden="1" x14ac:dyDescent="0.25"/>
    <row r="12577" hidden="1" x14ac:dyDescent="0.25"/>
    <row r="12578" hidden="1" x14ac:dyDescent="0.25"/>
    <row r="12579" hidden="1" x14ac:dyDescent="0.25"/>
    <row r="12580" hidden="1" x14ac:dyDescent="0.25"/>
    <row r="12581" hidden="1" x14ac:dyDescent="0.25"/>
    <row r="12582" hidden="1" x14ac:dyDescent="0.25"/>
    <row r="12583" hidden="1" x14ac:dyDescent="0.25"/>
    <row r="12584" hidden="1" x14ac:dyDescent="0.25"/>
    <row r="12585" hidden="1" x14ac:dyDescent="0.25"/>
    <row r="12586" hidden="1" x14ac:dyDescent="0.25"/>
    <row r="12587" hidden="1" x14ac:dyDescent="0.25"/>
    <row r="12588" hidden="1" x14ac:dyDescent="0.25"/>
    <row r="12589" hidden="1" x14ac:dyDescent="0.25"/>
    <row r="12590" hidden="1" x14ac:dyDescent="0.25"/>
    <row r="12591" hidden="1" x14ac:dyDescent="0.25"/>
    <row r="12592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hidden="1" x14ac:dyDescent="0.25"/>
    <row r="12626" hidden="1" x14ac:dyDescent="0.25"/>
    <row r="12627" hidden="1" x14ac:dyDescent="0.25"/>
    <row r="12628" hidden="1" x14ac:dyDescent="0.25"/>
    <row r="12629" hidden="1" x14ac:dyDescent="0.25"/>
    <row r="12630" hidden="1" x14ac:dyDescent="0.25"/>
    <row r="12631" hidden="1" x14ac:dyDescent="0.25"/>
    <row r="12632" hidden="1" x14ac:dyDescent="0.25"/>
    <row r="12633" hidden="1" x14ac:dyDescent="0.25"/>
    <row r="12634" hidden="1" x14ac:dyDescent="0.25"/>
    <row r="12635" hidden="1" x14ac:dyDescent="0.25"/>
    <row r="12636" hidden="1" x14ac:dyDescent="0.25"/>
    <row r="12637" hidden="1" x14ac:dyDescent="0.25"/>
    <row r="12638" hidden="1" x14ac:dyDescent="0.25"/>
    <row r="12639" hidden="1" x14ac:dyDescent="0.25"/>
    <row r="12640" hidden="1" x14ac:dyDescent="0.25"/>
    <row r="12641" hidden="1" x14ac:dyDescent="0.25"/>
    <row r="12642" hidden="1" x14ac:dyDescent="0.25"/>
    <row r="12643" hidden="1" x14ac:dyDescent="0.25"/>
    <row r="12644" hidden="1" x14ac:dyDescent="0.25"/>
    <row r="12645" hidden="1" x14ac:dyDescent="0.25"/>
    <row r="12646" hidden="1" x14ac:dyDescent="0.25"/>
    <row r="12647" hidden="1" x14ac:dyDescent="0.25"/>
    <row r="12648" hidden="1" x14ac:dyDescent="0.25"/>
    <row r="12649" hidden="1" x14ac:dyDescent="0.25"/>
    <row r="12650" hidden="1" x14ac:dyDescent="0.25"/>
    <row r="12651" hidden="1" x14ac:dyDescent="0.25"/>
    <row r="12652" hidden="1" x14ac:dyDescent="0.25"/>
    <row r="12653" hidden="1" x14ac:dyDescent="0.25"/>
    <row r="12654" hidden="1" x14ac:dyDescent="0.25"/>
    <row r="12655" hidden="1" x14ac:dyDescent="0.25"/>
    <row r="12656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hidden="1" x14ac:dyDescent="0.25"/>
    <row r="12706" hidden="1" x14ac:dyDescent="0.25"/>
    <row r="12707" hidden="1" x14ac:dyDescent="0.25"/>
    <row r="12708" hidden="1" x14ac:dyDescent="0.25"/>
    <row r="12709" hidden="1" x14ac:dyDescent="0.25"/>
    <row r="12710" hidden="1" x14ac:dyDescent="0.25"/>
    <row r="12711" hidden="1" x14ac:dyDescent="0.25"/>
    <row r="12712" hidden="1" x14ac:dyDescent="0.25"/>
    <row r="12713" hidden="1" x14ac:dyDescent="0.25"/>
    <row r="12714" hidden="1" x14ac:dyDescent="0.25"/>
    <row r="12715" hidden="1" x14ac:dyDescent="0.25"/>
    <row r="12716" hidden="1" x14ac:dyDescent="0.25"/>
    <row r="12717" hidden="1" x14ac:dyDescent="0.25"/>
    <row r="12718" hidden="1" x14ac:dyDescent="0.25"/>
    <row r="12719" hidden="1" x14ac:dyDescent="0.25"/>
    <row r="12720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hidden="1" x14ac:dyDescent="0.25"/>
    <row r="12770" hidden="1" x14ac:dyDescent="0.25"/>
    <row r="12771" hidden="1" x14ac:dyDescent="0.25"/>
    <row r="12772" hidden="1" x14ac:dyDescent="0.25"/>
    <row r="12773" hidden="1" x14ac:dyDescent="0.25"/>
    <row r="12774" hidden="1" x14ac:dyDescent="0.25"/>
    <row r="12775" hidden="1" x14ac:dyDescent="0.25"/>
    <row r="12776" hidden="1" x14ac:dyDescent="0.25"/>
    <row r="12777" hidden="1" x14ac:dyDescent="0.25"/>
    <row r="12778" hidden="1" x14ac:dyDescent="0.25"/>
    <row r="12779" hidden="1" x14ac:dyDescent="0.25"/>
    <row r="12780" hidden="1" x14ac:dyDescent="0.25"/>
    <row r="12781" hidden="1" x14ac:dyDescent="0.25"/>
    <row r="12782" hidden="1" x14ac:dyDescent="0.25"/>
    <row r="12783" hidden="1" x14ac:dyDescent="0.25"/>
    <row r="12784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hidden="1" x14ac:dyDescent="0.25"/>
    <row r="12834" hidden="1" x14ac:dyDescent="0.25"/>
    <row r="12835" hidden="1" x14ac:dyDescent="0.25"/>
    <row r="12836" hidden="1" x14ac:dyDescent="0.25"/>
    <row r="12837" hidden="1" x14ac:dyDescent="0.25"/>
    <row r="12838" hidden="1" x14ac:dyDescent="0.25"/>
    <row r="12839" hidden="1" x14ac:dyDescent="0.25"/>
    <row r="12840" hidden="1" x14ac:dyDescent="0.25"/>
    <row r="12841" hidden="1" x14ac:dyDescent="0.25"/>
    <row r="12842" hidden="1" x14ac:dyDescent="0.25"/>
    <row r="12843" hidden="1" x14ac:dyDescent="0.25"/>
    <row r="12844" hidden="1" x14ac:dyDescent="0.25"/>
    <row r="12845" hidden="1" x14ac:dyDescent="0.25"/>
    <row r="12846" hidden="1" x14ac:dyDescent="0.25"/>
    <row r="12847" hidden="1" x14ac:dyDescent="0.25"/>
    <row r="12848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hidden="1" x14ac:dyDescent="0.25"/>
    <row r="12882" hidden="1" x14ac:dyDescent="0.25"/>
    <row r="12883" hidden="1" x14ac:dyDescent="0.25"/>
    <row r="12884" hidden="1" x14ac:dyDescent="0.25"/>
    <row r="12885" hidden="1" x14ac:dyDescent="0.25"/>
    <row r="12886" hidden="1" x14ac:dyDescent="0.25"/>
    <row r="12887" hidden="1" x14ac:dyDescent="0.25"/>
    <row r="12888" hidden="1" x14ac:dyDescent="0.25"/>
    <row r="12889" hidden="1" x14ac:dyDescent="0.25"/>
    <row r="12890" hidden="1" x14ac:dyDescent="0.25"/>
    <row r="12891" hidden="1" x14ac:dyDescent="0.25"/>
    <row r="12892" hidden="1" x14ac:dyDescent="0.25"/>
    <row r="12893" hidden="1" x14ac:dyDescent="0.25"/>
    <row r="12894" hidden="1" x14ac:dyDescent="0.25"/>
    <row r="12895" hidden="1" x14ac:dyDescent="0.25"/>
    <row r="12896" hidden="1" x14ac:dyDescent="0.25"/>
    <row r="12897" hidden="1" x14ac:dyDescent="0.25"/>
    <row r="12898" hidden="1" x14ac:dyDescent="0.25"/>
    <row r="12899" hidden="1" x14ac:dyDescent="0.25"/>
    <row r="12900" hidden="1" x14ac:dyDescent="0.25"/>
    <row r="12901" hidden="1" x14ac:dyDescent="0.25"/>
    <row r="12902" hidden="1" x14ac:dyDescent="0.25"/>
    <row r="12903" hidden="1" x14ac:dyDescent="0.25"/>
    <row r="12904" hidden="1" x14ac:dyDescent="0.25"/>
    <row r="12905" hidden="1" x14ac:dyDescent="0.25"/>
    <row r="12906" hidden="1" x14ac:dyDescent="0.25"/>
    <row r="12907" hidden="1" x14ac:dyDescent="0.25"/>
    <row r="12908" hidden="1" x14ac:dyDescent="0.25"/>
    <row r="12909" hidden="1" x14ac:dyDescent="0.25"/>
    <row r="12910" hidden="1" x14ac:dyDescent="0.25"/>
    <row r="12911" hidden="1" x14ac:dyDescent="0.25"/>
    <row r="12912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hidden="1" x14ac:dyDescent="0.25"/>
    <row r="12946" hidden="1" x14ac:dyDescent="0.25"/>
    <row r="12947" hidden="1" x14ac:dyDescent="0.25"/>
    <row r="12948" hidden="1" x14ac:dyDescent="0.25"/>
    <row r="12949" hidden="1" x14ac:dyDescent="0.25"/>
    <row r="12950" hidden="1" x14ac:dyDescent="0.25"/>
    <row r="12951" hidden="1" x14ac:dyDescent="0.25"/>
    <row r="12952" hidden="1" x14ac:dyDescent="0.25"/>
    <row r="12953" hidden="1" x14ac:dyDescent="0.25"/>
    <row r="12954" hidden="1" x14ac:dyDescent="0.25"/>
    <row r="12955" hidden="1" x14ac:dyDescent="0.25"/>
    <row r="12956" hidden="1" x14ac:dyDescent="0.25"/>
    <row r="12957" hidden="1" x14ac:dyDescent="0.25"/>
    <row r="12958" hidden="1" x14ac:dyDescent="0.25"/>
    <row r="12959" hidden="1" x14ac:dyDescent="0.25"/>
    <row r="12960" hidden="1" x14ac:dyDescent="0.25"/>
    <row r="12961" hidden="1" x14ac:dyDescent="0.25"/>
    <row r="12962" hidden="1" x14ac:dyDescent="0.25"/>
    <row r="12963" hidden="1" x14ac:dyDescent="0.25"/>
    <row r="12964" hidden="1" x14ac:dyDescent="0.25"/>
    <row r="12965" hidden="1" x14ac:dyDescent="0.25"/>
    <row r="12966" hidden="1" x14ac:dyDescent="0.25"/>
    <row r="12967" hidden="1" x14ac:dyDescent="0.25"/>
    <row r="12968" hidden="1" x14ac:dyDescent="0.25"/>
    <row r="12969" hidden="1" x14ac:dyDescent="0.25"/>
    <row r="12970" hidden="1" x14ac:dyDescent="0.25"/>
    <row r="12971" hidden="1" x14ac:dyDescent="0.25"/>
    <row r="12972" hidden="1" x14ac:dyDescent="0.25"/>
    <row r="12973" hidden="1" x14ac:dyDescent="0.25"/>
    <row r="12974" hidden="1" x14ac:dyDescent="0.25"/>
    <row r="12975" hidden="1" x14ac:dyDescent="0.25"/>
    <row r="12976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hidden="1" x14ac:dyDescent="0.25"/>
    <row r="13026" hidden="1" x14ac:dyDescent="0.25"/>
    <row r="13027" hidden="1" x14ac:dyDescent="0.25"/>
    <row r="13028" hidden="1" x14ac:dyDescent="0.25"/>
    <row r="13029" hidden="1" x14ac:dyDescent="0.25"/>
    <row r="13030" hidden="1" x14ac:dyDescent="0.25"/>
    <row r="13031" hidden="1" x14ac:dyDescent="0.25"/>
    <row r="13032" hidden="1" x14ac:dyDescent="0.25"/>
    <row r="13033" hidden="1" x14ac:dyDescent="0.25"/>
    <row r="13034" hidden="1" x14ac:dyDescent="0.25"/>
    <row r="13035" hidden="1" x14ac:dyDescent="0.25"/>
    <row r="13036" hidden="1" x14ac:dyDescent="0.25"/>
    <row r="13037" hidden="1" x14ac:dyDescent="0.25"/>
    <row r="13038" hidden="1" x14ac:dyDescent="0.25"/>
    <row r="13039" hidden="1" x14ac:dyDescent="0.25"/>
    <row r="13040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hidden="1" x14ac:dyDescent="0.25"/>
    <row r="13090" hidden="1" x14ac:dyDescent="0.25"/>
    <row r="13091" hidden="1" x14ac:dyDescent="0.25"/>
    <row r="13092" hidden="1" x14ac:dyDescent="0.25"/>
    <row r="13093" hidden="1" x14ac:dyDescent="0.25"/>
    <row r="13094" hidden="1" x14ac:dyDescent="0.25"/>
    <row r="13095" hidden="1" x14ac:dyDescent="0.25"/>
    <row r="13096" hidden="1" x14ac:dyDescent="0.25"/>
    <row r="13097" hidden="1" x14ac:dyDescent="0.25"/>
    <row r="13098" hidden="1" x14ac:dyDescent="0.25"/>
    <row r="13099" hidden="1" x14ac:dyDescent="0.25"/>
    <row r="13100" hidden="1" x14ac:dyDescent="0.25"/>
    <row r="13101" hidden="1" x14ac:dyDescent="0.25"/>
    <row r="13102" hidden="1" x14ac:dyDescent="0.25"/>
    <row r="13103" hidden="1" x14ac:dyDescent="0.25"/>
    <row r="13104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hidden="1" x14ac:dyDescent="0.25"/>
    <row r="13154" hidden="1" x14ac:dyDescent="0.25"/>
    <row r="13155" hidden="1" x14ac:dyDescent="0.25"/>
    <row r="13156" hidden="1" x14ac:dyDescent="0.25"/>
    <row r="13157" hidden="1" x14ac:dyDescent="0.25"/>
    <row r="13158" hidden="1" x14ac:dyDescent="0.25"/>
    <row r="13159" hidden="1" x14ac:dyDescent="0.25"/>
    <row r="13160" hidden="1" x14ac:dyDescent="0.25"/>
    <row r="13161" hidden="1" x14ac:dyDescent="0.25"/>
    <row r="13162" hidden="1" x14ac:dyDescent="0.25"/>
    <row r="13163" hidden="1" x14ac:dyDescent="0.25"/>
    <row r="13164" hidden="1" x14ac:dyDescent="0.25"/>
    <row r="13165" hidden="1" x14ac:dyDescent="0.25"/>
    <row r="13166" hidden="1" x14ac:dyDescent="0.25"/>
    <row r="13167" hidden="1" x14ac:dyDescent="0.25"/>
    <row r="13168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hidden="1" x14ac:dyDescent="0.25"/>
    <row r="13218" hidden="1" x14ac:dyDescent="0.25"/>
    <row r="13219" hidden="1" x14ac:dyDescent="0.25"/>
    <row r="13220" hidden="1" x14ac:dyDescent="0.25"/>
    <row r="13221" hidden="1" x14ac:dyDescent="0.25"/>
    <row r="13222" hidden="1" x14ac:dyDescent="0.25"/>
    <row r="13223" hidden="1" x14ac:dyDescent="0.25"/>
    <row r="13224" hidden="1" x14ac:dyDescent="0.25"/>
    <row r="13225" hidden="1" x14ac:dyDescent="0.25"/>
    <row r="13226" hidden="1" x14ac:dyDescent="0.25"/>
    <row r="13227" hidden="1" x14ac:dyDescent="0.25"/>
    <row r="13228" hidden="1" x14ac:dyDescent="0.25"/>
    <row r="13229" hidden="1" x14ac:dyDescent="0.25"/>
    <row r="13230" hidden="1" x14ac:dyDescent="0.25"/>
    <row r="13231" hidden="1" x14ac:dyDescent="0.25"/>
    <row r="13232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hidden="1" x14ac:dyDescent="0.25"/>
    <row r="13282" hidden="1" x14ac:dyDescent="0.25"/>
    <row r="13283" hidden="1" x14ac:dyDescent="0.25"/>
    <row r="13284" hidden="1" x14ac:dyDescent="0.25"/>
    <row r="13285" hidden="1" x14ac:dyDescent="0.25"/>
    <row r="13286" hidden="1" x14ac:dyDescent="0.25"/>
    <row r="13287" hidden="1" x14ac:dyDescent="0.25"/>
    <row r="13288" hidden="1" x14ac:dyDescent="0.25"/>
    <row r="13289" hidden="1" x14ac:dyDescent="0.25"/>
    <row r="13290" hidden="1" x14ac:dyDescent="0.25"/>
    <row r="13291" hidden="1" x14ac:dyDescent="0.25"/>
    <row r="13292" hidden="1" x14ac:dyDescent="0.25"/>
    <row r="13293" hidden="1" x14ac:dyDescent="0.25"/>
    <row r="13294" hidden="1" x14ac:dyDescent="0.25"/>
    <row r="13295" hidden="1" x14ac:dyDescent="0.25"/>
    <row r="13296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hidden="1" x14ac:dyDescent="0.25"/>
    <row r="13346" hidden="1" x14ac:dyDescent="0.25"/>
    <row r="13347" hidden="1" x14ac:dyDescent="0.25"/>
    <row r="13348" hidden="1" x14ac:dyDescent="0.25"/>
    <row r="13349" hidden="1" x14ac:dyDescent="0.25"/>
    <row r="13350" hidden="1" x14ac:dyDescent="0.25"/>
    <row r="13351" hidden="1" x14ac:dyDescent="0.25"/>
    <row r="13352" hidden="1" x14ac:dyDescent="0.25"/>
    <row r="13353" hidden="1" x14ac:dyDescent="0.25"/>
    <row r="13354" hidden="1" x14ac:dyDescent="0.25"/>
    <row r="13355" hidden="1" x14ac:dyDescent="0.25"/>
    <row r="13356" hidden="1" x14ac:dyDescent="0.25"/>
    <row r="13357" hidden="1" x14ac:dyDescent="0.25"/>
    <row r="13358" hidden="1" x14ac:dyDescent="0.25"/>
    <row r="13359" hidden="1" x14ac:dyDescent="0.25"/>
    <row r="13360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hidden="1" x14ac:dyDescent="0.25"/>
    <row r="13410" hidden="1" x14ac:dyDescent="0.25"/>
    <row r="13411" hidden="1" x14ac:dyDescent="0.25"/>
    <row r="13412" hidden="1" x14ac:dyDescent="0.25"/>
    <row r="13413" hidden="1" x14ac:dyDescent="0.25"/>
    <row r="13414" hidden="1" x14ac:dyDescent="0.25"/>
    <row r="13415" hidden="1" x14ac:dyDescent="0.25"/>
    <row r="13416" hidden="1" x14ac:dyDescent="0.25"/>
    <row r="13417" hidden="1" x14ac:dyDescent="0.25"/>
    <row r="13418" hidden="1" x14ac:dyDescent="0.25"/>
    <row r="13419" hidden="1" x14ac:dyDescent="0.25"/>
    <row r="13420" hidden="1" x14ac:dyDescent="0.25"/>
    <row r="13421" hidden="1" x14ac:dyDescent="0.25"/>
    <row r="13422" hidden="1" x14ac:dyDescent="0.25"/>
    <row r="13423" hidden="1" x14ac:dyDescent="0.25"/>
    <row r="13424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hidden="1" x14ac:dyDescent="0.25"/>
    <row r="13458" hidden="1" x14ac:dyDescent="0.25"/>
    <row r="13459" hidden="1" x14ac:dyDescent="0.25"/>
    <row r="13460" hidden="1" x14ac:dyDescent="0.25"/>
    <row r="13461" hidden="1" x14ac:dyDescent="0.25"/>
    <row r="13462" hidden="1" x14ac:dyDescent="0.25"/>
    <row r="13463" hidden="1" x14ac:dyDescent="0.25"/>
    <row r="13464" hidden="1" x14ac:dyDescent="0.25"/>
    <row r="13465" hidden="1" x14ac:dyDescent="0.25"/>
    <row r="13466" hidden="1" x14ac:dyDescent="0.25"/>
    <row r="13467" hidden="1" x14ac:dyDescent="0.25"/>
    <row r="13468" hidden="1" x14ac:dyDescent="0.25"/>
    <row r="13469" hidden="1" x14ac:dyDescent="0.25"/>
    <row r="13470" hidden="1" x14ac:dyDescent="0.25"/>
    <row r="13471" hidden="1" x14ac:dyDescent="0.25"/>
    <row r="13472" hidden="1" x14ac:dyDescent="0.25"/>
    <row r="13473" hidden="1" x14ac:dyDescent="0.25"/>
    <row r="13474" hidden="1" x14ac:dyDescent="0.25"/>
    <row r="13475" hidden="1" x14ac:dyDescent="0.25"/>
    <row r="13476" hidden="1" x14ac:dyDescent="0.25"/>
    <row r="13477" hidden="1" x14ac:dyDescent="0.25"/>
    <row r="13478" hidden="1" x14ac:dyDescent="0.25"/>
    <row r="13479" hidden="1" x14ac:dyDescent="0.25"/>
    <row r="13480" hidden="1" x14ac:dyDescent="0.25"/>
    <row r="13481" hidden="1" x14ac:dyDescent="0.25"/>
    <row r="13482" hidden="1" x14ac:dyDescent="0.25"/>
    <row r="13483" hidden="1" x14ac:dyDescent="0.25"/>
    <row r="13484" hidden="1" x14ac:dyDescent="0.25"/>
    <row r="13485" hidden="1" x14ac:dyDescent="0.25"/>
    <row r="13486" hidden="1" x14ac:dyDescent="0.25"/>
    <row r="13487" hidden="1" x14ac:dyDescent="0.25"/>
    <row r="13488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hidden="1" x14ac:dyDescent="0.25"/>
    <row r="13522" hidden="1" x14ac:dyDescent="0.25"/>
    <row r="13523" hidden="1" x14ac:dyDescent="0.25"/>
    <row r="13524" hidden="1" x14ac:dyDescent="0.25"/>
    <row r="13525" hidden="1" x14ac:dyDescent="0.25"/>
    <row r="13526" hidden="1" x14ac:dyDescent="0.25"/>
    <row r="13527" hidden="1" x14ac:dyDescent="0.25"/>
    <row r="13528" hidden="1" x14ac:dyDescent="0.25"/>
    <row r="13529" hidden="1" x14ac:dyDescent="0.25"/>
    <row r="13530" hidden="1" x14ac:dyDescent="0.25"/>
    <row r="13531" hidden="1" x14ac:dyDescent="0.25"/>
    <row r="13532" hidden="1" x14ac:dyDescent="0.25"/>
    <row r="13533" hidden="1" x14ac:dyDescent="0.25"/>
    <row r="13534" hidden="1" x14ac:dyDescent="0.25"/>
    <row r="13535" hidden="1" x14ac:dyDescent="0.25"/>
    <row r="13536" hidden="1" x14ac:dyDescent="0.25"/>
    <row r="13537" hidden="1" x14ac:dyDescent="0.25"/>
    <row r="13538" hidden="1" x14ac:dyDescent="0.25"/>
    <row r="13539" hidden="1" x14ac:dyDescent="0.25"/>
    <row r="13540" hidden="1" x14ac:dyDescent="0.25"/>
    <row r="13541" hidden="1" x14ac:dyDescent="0.25"/>
    <row r="13542" hidden="1" x14ac:dyDescent="0.25"/>
    <row r="13543" hidden="1" x14ac:dyDescent="0.25"/>
    <row r="13544" hidden="1" x14ac:dyDescent="0.25"/>
    <row r="13545" hidden="1" x14ac:dyDescent="0.25"/>
    <row r="13546" hidden="1" x14ac:dyDescent="0.25"/>
    <row r="13547" hidden="1" x14ac:dyDescent="0.25"/>
    <row r="13548" hidden="1" x14ac:dyDescent="0.25"/>
    <row r="13549" hidden="1" x14ac:dyDescent="0.25"/>
    <row r="13550" hidden="1" x14ac:dyDescent="0.25"/>
    <row r="13551" hidden="1" x14ac:dyDescent="0.25"/>
    <row r="13552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hidden="1" x14ac:dyDescent="0.25"/>
    <row r="13586" hidden="1" x14ac:dyDescent="0.25"/>
    <row r="13587" hidden="1" x14ac:dyDescent="0.25"/>
    <row r="13588" hidden="1" x14ac:dyDescent="0.25"/>
    <row r="13589" hidden="1" x14ac:dyDescent="0.25"/>
    <row r="13590" hidden="1" x14ac:dyDescent="0.25"/>
    <row r="13591" hidden="1" x14ac:dyDescent="0.25"/>
    <row r="13592" hidden="1" x14ac:dyDescent="0.25"/>
    <row r="13593" hidden="1" x14ac:dyDescent="0.25"/>
    <row r="13594" hidden="1" x14ac:dyDescent="0.25"/>
    <row r="13595" hidden="1" x14ac:dyDescent="0.25"/>
    <row r="13596" hidden="1" x14ac:dyDescent="0.25"/>
    <row r="13597" hidden="1" x14ac:dyDescent="0.25"/>
    <row r="13598" hidden="1" x14ac:dyDescent="0.25"/>
    <row r="13599" hidden="1" x14ac:dyDescent="0.25"/>
    <row r="13600" hidden="1" x14ac:dyDescent="0.25"/>
    <row r="13601" hidden="1" x14ac:dyDescent="0.25"/>
    <row r="13602" hidden="1" x14ac:dyDescent="0.25"/>
    <row r="13603" hidden="1" x14ac:dyDescent="0.25"/>
    <row r="13604" hidden="1" x14ac:dyDescent="0.25"/>
    <row r="13605" hidden="1" x14ac:dyDescent="0.25"/>
    <row r="13606" hidden="1" x14ac:dyDescent="0.25"/>
    <row r="13607" hidden="1" x14ac:dyDescent="0.25"/>
    <row r="13608" hidden="1" x14ac:dyDescent="0.25"/>
    <row r="13609" hidden="1" x14ac:dyDescent="0.25"/>
    <row r="13610" hidden="1" x14ac:dyDescent="0.25"/>
    <row r="13611" hidden="1" x14ac:dyDescent="0.25"/>
    <row r="13612" hidden="1" x14ac:dyDescent="0.25"/>
    <row r="13613" hidden="1" x14ac:dyDescent="0.25"/>
    <row r="13614" hidden="1" x14ac:dyDescent="0.25"/>
    <row r="13615" hidden="1" x14ac:dyDescent="0.25"/>
    <row r="13616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hidden="1" x14ac:dyDescent="0.25"/>
    <row r="13634" hidden="1" x14ac:dyDescent="0.25"/>
    <row r="13635" hidden="1" x14ac:dyDescent="0.25"/>
    <row r="13636" hidden="1" x14ac:dyDescent="0.25"/>
    <row r="13637" hidden="1" x14ac:dyDescent="0.25"/>
    <row r="13638" hidden="1" x14ac:dyDescent="0.25"/>
    <row r="13639" hidden="1" x14ac:dyDescent="0.25"/>
    <row r="13640" hidden="1" x14ac:dyDescent="0.25"/>
    <row r="13641" hidden="1" x14ac:dyDescent="0.25"/>
    <row r="13642" hidden="1" x14ac:dyDescent="0.25"/>
    <row r="13643" hidden="1" x14ac:dyDescent="0.25"/>
    <row r="13644" hidden="1" x14ac:dyDescent="0.25"/>
    <row r="13645" hidden="1" x14ac:dyDescent="0.25"/>
    <row r="13646" hidden="1" x14ac:dyDescent="0.25"/>
    <row r="13647" hidden="1" x14ac:dyDescent="0.25"/>
    <row r="13648" hidden="1" x14ac:dyDescent="0.25"/>
    <row r="13649" hidden="1" x14ac:dyDescent="0.25"/>
    <row r="13650" hidden="1" x14ac:dyDescent="0.25"/>
    <row r="13651" hidden="1" x14ac:dyDescent="0.25"/>
    <row r="13652" hidden="1" x14ac:dyDescent="0.25"/>
    <row r="13653" hidden="1" x14ac:dyDescent="0.25"/>
    <row r="13654" hidden="1" x14ac:dyDescent="0.25"/>
    <row r="13655" hidden="1" x14ac:dyDescent="0.25"/>
    <row r="13656" hidden="1" x14ac:dyDescent="0.25"/>
    <row r="13657" hidden="1" x14ac:dyDescent="0.25"/>
    <row r="13658" hidden="1" x14ac:dyDescent="0.25"/>
    <row r="13659" hidden="1" x14ac:dyDescent="0.25"/>
    <row r="13660" hidden="1" x14ac:dyDescent="0.25"/>
    <row r="13661" hidden="1" x14ac:dyDescent="0.25"/>
    <row r="13662" hidden="1" x14ac:dyDescent="0.25"/>
    <row r="13663" hidden="1" x14ac:dyDescent="0.25"/>
    <row r="13664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hidden="1" x14ac:dyDescent="0.25"/>
    <row r="13682" hidden="1" x14ac:dyDescent="0.25"/>
    <row r="13683" hidden="1" x14ac:dyDescent="0.25"/>
    <row r="13684" hidden="1" x14ac:dyDescent="0.25"/>
    <row r="13685" hidden="1" x14ac:dyDescent="0.25"/>
    <row r="13686" hidden="1" x14ac:dyDescent="0.25"/>
    <row r="13687" hidden="1" x14ac:dyDescent="0.25"/>
    <row r="13688" hidden="1" x14ac:dyDescent="0.25"/>
    <row r="13689" hidden="1" x14ac:dyDescent="0.25"/>
    <row r="13690" hidden="1" x14ac:dyDescent="0.25"/>
    <row r="13691" hidden="1" x14ac:dyDescent="0.25"/>
    <row r="13692" hidden="1" x14ac:dyDescent="0.25"/>
    <row r="13693" hidden="1" x14ac:dyDescent="0.25"/>
    <row r="13694" hidden="1" x14ac:dyDescent="0.25"/>
    <row r="13695" hidden="1" x14ac:dyDescent="0.25"/>
    <row r="13696" hidden="1" x14ac:dyDescent="0.25"/>
    <row r="13697" hidden="1" x14ac:dyDescent="0.25"/>
    <row r="13698" hidden="1" x14ac:dyDescent="0.25"/>
    <row r="13699" hidden="1" x14ac:dyDescent="0.25"/>
    <row r="13700" hidden="1" x14ac:dyDescent="0.25"/>
    <row r="13701" hidden="1" x14ac:dyDescent="0.25"/>
    <row r="13702" hidden="1" x14ac:dyDescent="0.25"/>
    <row r="13703" hidden="1" x14ac:dyDescent="0.25"/>
    <row r="13704" hidden="1" x14ac:dyDescent="0.25"/>
    <row r="13705" hidden="1" x14ac:dyDescent="0.25"/>
    <row r="13706" hidden="1" x14ac:dyDescent="0.25"/>
    <row r="13707" hidden="1" x14ac:dyDescent="0.25"/>
    <row r="13708" hidden="1" x14ac:dyDescent="0.25"/>
    <row r="13709" hidden="1" x14ac:dyDescent="0.25"/>
    <row r="13710" hidden="1" x14ac:dyDescent="0.25"/>
    <row r="13711" hidden="1" x14ac:dyDescent="0.25"/>
    <row r="13712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hidden="1" x14ac:dyDescent="0.25"/>
    <row r="13730" hidden="1" x14ac:dyDescent="0.25"/>
    <row r="13731" hidden="1" x14ac:dyDescent="0.25"/>
    <row r="13732" hidden="1" x14ac:dyDescent="0.25"/>
    <row r="13733" hidden="1" x14ac:dyDescent="0.25"/>
    <row r="13734" hidden="1" x14ac:dyDescent="0.25"/>
    <row r="13735" hidden="1" x14ac:dyDescent="0.25"/>
    <row r="13736" hidden="1" x14ac:dyDescent="0.25"/>
    <row r="13737" hidden="1" x14ac:dyDescent="0.25"/>
    <row r="13738" hidden="1" x14ac:dyDescent="0.25"/>
    <row r="13739" hidden="1" x14ac:dyDescent="0.25"/>
    <row r="13740" hidden="1" x14ac:dyDescent="0.25"/>
    <row r="13741" hidden="1" x14ac:dyDescent="0.25"/>
    <row r="13742" hidden="1" x14ac:dyDescent="0.25"/>
    <row r="13743" hidden="1" x14ac:dyDescent="0.25"/>
    <row r="13744" hidden="1" x14ac:dyDescent="0.25"/>
    <row r="13745" hidden="1" x14ac:dyDescent="0.25"/>
    <row r="13746" hidden="1" x14ac:dyDescent="0.25"/>
    <row r="13747" hidden="1" x14ac:dyDescent="0.25"/>
    <row r="13748" hidden="1" x14ac:dyDescent="0.25"/>
    <row r="13749" hidden="1" x14ac:dyDescent="0.25"/>
    <row r="13750" hidden="1" x14ac:dyDescent="0.25"/>
    <row r="13751" hidden="1" x14ac:dyDescent="0.25"/>
    <row r="13752" hidden="1" x14ac:dyDescent="0.25"/>
    <row r="13753" hidden="1" x14ac:dyDescent="0.25"/>
    <row r="13754" hidden="1" x14ac:dyDescent="0.25"/>
    <row r="13755" hidden="1" x14ac:dyDescent="0.25"/>
    <row r="13756" hidden="1" x14ac:dyDescent="0.25"/>
    <row r="13757" hidden="1" x14ac:dyDescent="0.25"/>
    <row r="13758" hidden="1" x14ac:dyDescent="0.25"/>
    <row r="13759" hidden="1" x14ac:dyDescent="0.25"/>
    <row r="13760" hidden="1" x14ac:dyDescent="0.25"/>
    <row r="13761" hidden="1" x14ac:dyDescent="0.25"/>
    <row r="13762" hidden="1" x14ac:dyDescent="0.25"/>
    <row r="13763" hidden="1" x14ac:dyDescent="0.25"/>
    <row r="13764" hidden="1" x14ac:dyDescent="0.25"/>
    <row r="13765" hidden="1" x14ac:dyDescent="0.25"/>
    <row r="13766" hidden="1" x14ac:dyDescent="0.25"/>
    <row r="13767" hidden="1" x14ac:dyDescent="0.25"/>
    <row r="13768" hidden="1" x14ac:dyDescent="0.25"/>
    <row r="13769" hidden="1" x14ac:dyDescent="0.25"/>
    <row r="13770" hidden="1" x14ac:dyDescent="0.25"/>
    <row r="13771" hidden="1" x14ac:dyDescent="0.25"/>
    <row r="13772" hidden="1" x14ac:dyDescent="0.25"/>
    <row r="13773" hidden="1" x14ac:dyDescent="0.25"/>
    <row r="13774" hidden="1" x14ac:dyDescent="0.25"/>
    <row r="13775" hidden="1" x14ac:dyDescent="0.25"/>
    <row r="13776" hidden="1" x14ac:dyDescent="0.25"/>
    <row r="13777" hidden="1" x14ac:dyDescent="0.25"/>
    <row r="13778" hidden="1" x14ac:dyDescent="0.25"/>
    <row r="13779" hidden="1" x14ac:dyDescent="0.25"/>
    <row r="13780" hidden="1" x14ac:dyDescent="0.25"/>
    <row r="13781" hidden="1" x14ac:dyDescent="0.25"/>
    <row r="13782" hidden="1" x14ac:dyDescent="0.25"/>
    <row r="13783" hidden="1" x14ac:dyDescent="0.25"/>
    <row r="13784" hidden="1" x14ac:dyDescent="0.25"/>
    <row r="13785" hidden="1" x14ac:dyDescent="0.25"/>
    <row r="13786" hidden="1" x14ac:dyDescent="0.25"/>
    <row r="13787" hidden="1" x14ac:dyDescent="0.25"/>
    <row r="13788" hidden="1" x14ac:dyDescent="0.25"/>
    <row r="13789" hidden="1" x14ac:dyDescent="0.25"/>
    <row r="13790" hidden="1" x14ac:dyDescent="0.25"/>
    <row r="13791" hidden="1" x14ac:dyDescent="0.25"/>
    <row r="13792" hidden="1" x14ac:dyDescent="0.25"/>
    <row r="13793" hidden="1" x14ac:dyDescent="0.25"/>
    <row r="13794" hidden="1" x14ac:dyDescent="0.25"/>
    <row r="13795" hidden="1" x14ac:dyDescent="0.25"/>
    <row r="13796" hidden="1" x14ac:dyDescent="0.25"/>
    <row r="13797" hidden="1" x14ac:dyDescent="0.25"/>
    <row r="13798" hidden="1" x14ac:dyDescent="0.25"/>
    <row r="13799" hidden="1" x14ac:dyDescent="0.25"/>
    <row r="13800" hidden="1" x14ac:dyDescent="0.25"/>
    <row r="13801" hidden="1" x14ac:dyDescent="0.25"/>
    <row r="13802" hidden="1" x14ac:dyDescent="0.25"/>
    <row r="13803" hidden="1" x14ac:dyDescent="0.25"/>
    <row r="13804" hidden="1" x14ac:dyDescent="0.25"/>
    <row r="13805" hidden="1" x14ac:dyDescent="0.25"/>
    <row r="13806" hidden="1" x14ac:dyDescent="0.25"/>
    <row r="13807" hidden="1" x14ac:dyDescent="0.25"/>
    <row r="13808" hidden="1" x14ac:dyDescent="0.25"/>
    <row r="13809" hidden="1" x14ac:dyDescent="0.25"/>
    <row r="13810" hidden="1" x14ac:dyDescent="0.25"/>
    <row r="13811" hidden="1" x14ac:dyDescent="0.25"/>
    <row r="13812" hidden="1" x14ac:dyDescent="0.25"/>
    <row r="13813" hidden="1" x14ac:dyDescent="0.25"/>
    <row r="13814" hidden="1" x14ac:dyDescent="0.25"/>
    <row r="13815" hidden="1" x14ac:dyDescent="0.25"/>
    <row r="13816" hidden="1" x14ac:dyDescent="0.25"/>
    <row r="13817" hidden="1" x14ac:dyDescent="0.25"/>
    <row r="13818" hidden="1" x14ac:dyDescent="0.25"/>
    <row r="13819" hidden="1" x14ac:dyDescent="0.25"/>
    <row r="13820" hidden="1" x14ac:dyDescent="0.25"/>
    <row r="13821" hidden="1" x14ac:dyDescent="0.25"/>
    <row r="13822" hidden="1" x14ac:dyDescent="0.25"/>
    <row r="13823" hidden="1" x14ac:dyDescent="0.25"/>
    <row r="13824" hidden="1" x14ac:dyDescent="0.25"/>
    <row r="13825" hidden="1" x14ac:dyDescent="0.25"/>
    <row r="13826" hidden="1" x14ac:dyDescent="0.25"/>
    <row r="13827" hidden="1" x14ac:dyDescent="0.25"/>
    <row r="13828" hidden="1" x14ac:dyDescent="0.25"/>
  </sheetData>
  <autoFilter ref="A1:R13828" xr:uid="{1D9EE959-5D9F-401E-B357-6E0D9910D0BE}">
    <filterColumn colId="8">
      <filters>
        <filter val="29"/>
      </filters>
    </filterColumn>
  </autoFilter>
  <conditionalFormatting sqref="E1:E1048576 B1:C1048576">
    <cfRule type="cellIs" dxfId="13" priority="5" operator="equal">
      <formula>"Ok"</formula>
    </cfRule>
    <cfRule type="cellIs" dxfId="12" priority="6" operator="equal">
      <formula>"Er"</formula>
    </cfRule>
    <cfRule type="cellIs" dxfId="11" priority="7" operator="equal">
      <formula>"Ln"</formula>
    </cfRule>
  </conditionalFormatting>
  <conditionalFormatting sqref="I1:I1048576">
    <cfRule type="cellIs" dxfId="10" priority="4" operator="equal">
      <formula>7</formula>
    </cfRule>
  </conditionalFormatting>
  <conditionalFormatting sqref="B1:C1048576">
    <cfRule type="cellIs" dxfId="9" priority="2" operator="equal">
      <formula>"→"</formula>
    </cfRule>
    <cfRule type="cellIs" dxfId="8" priority="3" operator="equal">
      <formula>"←"</formula>
    </cfRule>
  </conditionalFormatting>
  <conditionalFormatting sqref="C1:C1048576">
    <cfRule type="cellIs" dxfId="7" priority="1" operator="greaterThan">
      <formula>1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660AD-D6A7-46B2-A645-46602874AA9A}">
  <dimension ref="A1:E99"/>
  <sheetViews>
    <sheetView topLeftCell="A19" workbookViewId="0">
      <selection activeCell="E5" sqref="E5"/>
    </sheetView>
  </sheetViews>
  <sheetFormatPr defaultRowHeight="15" x14ac:dyDescent="0.25"/>
  <cols>
    <col min="1" max="2" width="49.7109375" bestFit="1" customWidth="1"/>
    <col min="3" max="4" width="49.42578125" bestFit="1" customWidth="1"/>
    <col min="5" max="5" width="49.7109375" bestFit="1" customWidth="1"/>
  </cols>
  <sheetData>
    <row r="1" spans="1:5" x14ac:dyDescent="0.25">
      <c r="A1" t="s">
        <v>134</v>
      </c>
      <c r="B1" t="s">
        <v>144</v>
      </c>
      <c r="C1" t="s">
        <v>154</v>
      </c>
      <c r="D1" t="s">
        <v>164</v>
      </c>
      <c r="E1" t="s">
        <v>174</v>
      </c>
    </row>
    <row r="2" spans="1:5" x14ac:dyDescent="0.25">
      <c r="A2" t="s">
        <v>135</v>
      </c>
      <c r="B2" t="s">
        <v>145</v>
      </c>
      <c r="C2" t="s">
        <v>155</v>
      </c>
      <c r="D2" t="s">
        <v>165</v>
      </c>
      <c r="E2" t="s">
        <v>175</v>
      </c>
    </row>
    <row r="3" spans="1:5" x14ac:dyDescent="0.25">
      <c r="A3" t="s">
        <v>136</v>
      </c>
      <c r="B3" t="s">
        <v>146</v>
      </c>
      <c r="C3" t="s">
        <v>156</v>
      </c>
      <c r="D3" t="s">
        <v>166</v>
      </c>
      <c r="E3" t="s">
        <v>176</v>
      </c>
    </row>
    <row r="4" spans="1:5" x14ac:dyDescent="0.25">
      <c r="A4" t="s">
        <v>137</v>
      </c>
      <c r="B4" t="s">
        <v>147</v>
      </c>
      <c r="C4" t="s">
        <v>157</v>
      </c>
      <c r="D4" t="s">
        <v>167</v>
      </c>
      <c r="E4" t="s">
        <v>177</v>
      </c>
    </row>
    <row r="5" spans="1:5" x14ac:dyDescent="0.25">
      <c r="A5" t="s">
        <v>138</v>
      </c>
      <c r="B5" t="s">
        <v>148</v>
      </c>
      <c r="C5" t="s">
        <v>158</v>
      </c>
      <c r="D5" t="s">
        <v>168</v>
      </c>
      <c r="E5" t="s">
        <v>178</v>
      </c>
    </row>
    <row r="6" spans="1:5" x14ac:dyDescent="0.25">
      <c r="A6" t="s">
        <v>139</v>
      </c>
      <c r="B6" t="s">
        <v>149</v>
      </c>
      <c r="C6" t="s">
        <v>159</v>
      </c>
      <c r="D6" t="s">
        <v>169</v>
      </c>
      <c r="E6" t="s">
        <v>179</v>
      </c>
    </row>
    <row r="7" spans="1:5" x14ac:dyDescent="0.25">
      <c r="A7" t="s">
        <v>140</v>
      </c>
      <c r="B7" t="s">
        <v>150</v>
      </c>
      <c r="C7" t="s">
        <v>160</v>
      </c>
      <c r="D7" t="s">
        <v>170</v>
      </c>
      <c r="E7" t="s">
        <v>180</v>
      </c>
    </row>
    <row r="8" spans="1:5" x14ac:dyDescent="0.25">
      <c r="A8" t="s">
        <v>141</v>
      </c>
      <c r="B8" t="s">
        <v>151</v>
      </c>
      <c r="C8" t="s">
        <v>161</v>
      </c>
      <c r="D8" t="s">
        <v>171</v>
      </c>
      <c r="E8" t="s">
        <v>181</v>
      </c>
    </row>
    <row r="9" spans="1:5" x14ac:dyDescent="0.25">
      <c r="A9" t="s">
        <v>142</v>
      </c>
      <c r="B9" t="s">
        <v>152</v>
      </c>
      <c r="C9" t="s">
        <v>162</v>
      </c>
      <c r="D9" t="s">
        <v>172</v>
      </c>
      <c r="E9" t="s">
        <v>182</v>
      </c>
    </row>
    <row r="10" spans="1:5" x14ac:dyDescent="0.25">
      <c r="A10" t="s">
        <v>143</v>
      </c>
      <c r="B10" t="s">
        <v>153</v>
      </c>
      <c r="C10" t="s">
        <v>163</v>
      </c>
      <c r="D10" t="s">
        <v>173</v>
      </c>
      <c r="E10" t="s">
        <v>183</v>
      </c>
    </row>
    <row r="51" spans="1:1" x14ac:dyDescent="0.25">
      <c r="A51" t="s">
        <v>184</v>
      </c>
    </row>
    <row r="52" spans="1:1" x14ac:dyDescent="0.25">
      <c r="A52" t="s">
        <v>185</v>
      </c>
    </row>
    <row r="53" spans="1:1" x14ac:dyDescent="0.25">
      <c r="A53" t="s">
        <v>186</v>
      </c>
    </row>
    <row r="54" spans="1:1" x14ac:dyDescent="0.25">
      <c r="A54" t="s">
        <v>187</v>
      </c>
    </row>
    <row r="55" spans="1:1" x14ac:dyDescent="0.25">
      <c r="A55" t="s">
        <v>188</v>
      </c>
    </row>
    <row r="56" spans="1:1" x14ac:dyDescent="0.25">
      <c r="A56" t="s">
        <v>189</v>
      </c>
    </row>
    <row r="57" spans="1:1" x14ac:dyDescent="0.25">
      <c r="A57" t="s">
        <v>190</v>
      </c>
    </row>
    <row r="58" spans="1:1" x14ac:dyDescent="0.25">
      <c r="A58" t="s">
        <v>191</v>
      </c>
    </row>
    <row r="59" spans="1:1" x14ac:dyDescent="0.25">
      <c r="A59" t="s">
        <v>192</v>
      </c>
    </row>
    <row r="60" spans="1:1" x14ac:dyDescent="0.25">
      <c r="A60" t="s">
        <v>193</v>
      </c>
    </row>
    <row r="61" spans="1:1" x14ac:dyDescent="0.25">
      <c r="A61" t="s">
        <v>194</v>
      </c>
    </row>
    <row r="62" spans="1:1" x14ac:dyDescent="0.25">
      <c r="A62" t="s">
        <v>195</v>
      </c>
    </row>
    <row r="63" spans="1:1" x14ac:dyDescent="0.25">
      <c r="A63" t="s">
        <v>196</v>
      </c>
    </row>
    <row r="64" spans="1:1" x14ac:dyDescent="0.25">
      <c r="A64" t="s">
        <v>197</v>
      </c>
    </row>
    <row r="65" spans="1:1" x14ac:dyDescent="0.25">
      <c r="A65" t="s">
        <v>198</v>
      </c>
    </row>
    <row r="66" spans="1:1" x14ac:dyDescent="0.25">
      <c r="A66" t="s">
        <v>199</v>
      </c>
    </row>
    <row r="67" spans="1:1" x14ac:dyDescent="0.25">
      <c r="A67" t="s">
        <v>200</v>
      </c>
    </row>
    <row r="68" spans="1:1" x14ac:dyDescent="0.25">
      <c r="A68" t="s">
        <v>201</v>
      </c>
    </row>
    <row r="69" spans="1:1" x14ac:dyDescent="0.25">
      <c r="A69" t="s">
        <v>202</v>
      </c>
    </row>
    <row r="70" spans="1:1" x14ac:dyDescent="0.25">
      <c r="A70" t="s">
        <v>203</v>
      </c>
    </row>
    <row r="71" spans="1:1" x14ac:dyDescent="0.25">
      <c r="A71" t="s">
        <v>204</v>
      </c>
    </row>
    <row r="72" spans="1:1" x14ac:dyDescent="0.25">
      <c r="A72" t="s">
        <v>205</v>
      </c>
    </row>
    <row r="73" spans="1:1" x14ac:dyDescent="0.25">
      <c r="A73" t="s">
        <v>206</v>
      </c>
    </row>
    <row r="74" spans="1:1" x14ac:dyDescent="0.25">
      <c r="A74" t="s">
        <v>207</v>
      </c>
    </row>
    <row r="75" spans="1:1" x14ac:dyDescent="0.25">
      <c r="A75" t="s">
        <v>208</v>
      </c>
    </row>
    <row r="76" spans="1:1" x14ac:dyDescent="0.25">
      <c r="A76" t="s">
        <v>209</v>
      </c>
    </row>
    <row r="77" spans="1:1" x14ac:dyDescent="0.25">
      <c r="A77" t="s">
        <v>210</v>
      </c>
    </row>
    <row r="78" spans="1:1" x14ac:dyDescent="0.25">
      <c r="A78" t="s">
        <v>211</v>
      </c>
    </row>
    <row r="79" spans="1:1" x14ac:dyDescent="0.25">
      <c r="A79" t="s">
        <v>212</v>
      </c>
    </row>
    <row r="80" spans="1:1" x14ac:dyDescent="0.25">
      <c r="A80" t="s">
        <v>213</v>
      </c>
    </row>
    <row r="81" spans="1:1" x14ac:dyDescent="0.25">
      <c r="A81" t="s">
        <v>214</v>
      </c>
    </row>
    <row r="82" spans="1:1" x14ac:dyDescent="0.25">
      <c r="A82" t="s">
        <v>215</v>
      </c>
    </row>
    <row r="83" spans="1:1" x14ac:dyDescent="0.25">
      <c r="A83" t="s">
        <v>216</v>
      </c>
    </row>
    <row r="84" spans="1:1" x14ac:dyDescent="0.25">
      <c r="A84" t="s">
        <v>217</v>
      </c>
    </row>
    <row r="85" spans="1:1" x14ac:dyDescent="0.25">
      <c r="A85" t="s">
        <v>218</v>
      </c>
    </row>
    <row r="86" spans="1:1" x14ac:dyDescent="0.25">
      <c r="A86" t="s">
        <v>219</v>
      </c>
    </row>
    <row r="87" spans="1:1" x14ac:dyDescent="0.25">
      <c r="A87" t="s">
        <v>220</v>
      </c>
    </row>
    <row r="88" spans="1:1" x14ac:dyDescent="0.25">
      <c r="A88" t="s">
        <v>221</v>
      </c>
    </row>
    <row r="89" spans="1:1" x14ac:dyDescent="0.25">
      <c r="A89" t="s">
        <v>222</v>
      </c>
    </row>
    <row r="90" spans="1:1" x14ac:dyDescent="0.25">
      <c r="A90" t="s">
        <v>223</v>
      </c>
    </row>
    <row r="91" spans="1:1" x14ac:dyDescent="0.25">
      <c r="A91" t="s">
        <v>224</v>
      </c>
    </row>
    <row r="92" spans="1:1" x14ac:dyDescent="0.25">
      <c r="A92" t="s">
        <v>225</v>
      </c>
    </row>
    <row r="93" spans="1:1" x14ac:dyDescent="0.25">
      <c r="A93" t="s">
        <v>226</v>
      </c>
    </row>
    <row r="94" spans="1:1" x14ac:dyDescent="0.25">
      <c r="A94" t="s">
        <v>227</v>
      </c>
    </row>
    <row r="95" spans="1:1" x14ac:dyDescent="0.25">
      <c r="A95" t="s">
        <v>228</v>
      </c>
    </row>
    <row r="96" spans="1:1" x14ac:dyDescent="0.25">
      <c r="A96" t="s">
        <v>229</v>
      </c>
    </row>
    <row r="97" spans="1:1" x14ac:dyDescent="0.25">
      <c r="A97" t="s">
        <v>230</v>
      </c>
    </row>
    <row r="98" spans="1:1" x14ac:dyDescent="0.25">
      <c r="A98" t="s">
        <v>231</v>
      </c>
    </row>
    <row r="99" spans="1:1" x14ac:dyDescent="0.25">
      <c r="A99" t="s">
        <v>232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A2B2-BF14-4DCD-AFD2-BD28F545017C}">
  <dimension ref="A1:J45"/>
  <sheetViews>
    <sheetView workbookViewId="0">
      <selection activeCell="A12" sqref="A12"/>
    </sheetView>
  </sheetViews>
  <sheetFormatPr defaultRowHeight="15" x14ac:dyDescent="0.25"/>
  <sheetData>
    <row r="1" spans="1:10" x14ac:dyDescent="0.25"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</row>
    <row r="2" spans="1:10" x14ac:dyDescent="0.25">
      <c r="A2" t="s">
        <v>116</v>
      </c>
      <c r="C2">
        <v>0</v>
      </c>
      <c r="D2">
        <v>0</v>
      </c>
      <c r="E2">
        <v>0</v>
      </c>
      <c r="F2">
        <v>0</v>
      </c>
      <c r="G2">
        <v>1</v>
      </c>
      <c r="H2">
        <v>0</v>
      </c>
      <c r="I2">
        <v>1</v>
      </c>
      <c r="J2">
        <v>0</v>
      </c>
    </row>
    <row r="3" spans="1:10" x14ac:dyDescent="0.25">
      <c r="A3" t="s">
        <v>117</v>
      </c>
      <c r="C3">
        <v>0</v>
      </c>
      <c r="D3">
        <v>0</v>
      </c>
      <c r="E3">
        <v>0</v>
      </c>
      <c r="F3">
        <v>1</v>
      </c>
      <c r="G3">
        <v>0</v>
      </c>
      <c r="H3">
        <v>1</v>
      </c>
      <c r="I3">
        <v>0</v>
      </c>
      <c r="J3">
        <v>0</v>
      </c>
    </row>
    <row r="4" spans="1:10" x14ac:dyDescent="0.25">
      <c r="A4" t="s">
        <v>118</v>
      </c>
      <c r="C4">
        <v>0</v>
      </c>
      <c r="D4">
        <v>0</v>
      </c>
      <c r="E4">
        <v>0</v>
      </c>
      <c r="F4">
        <v>1</v>
      </c>
      <c r="G4">
        <v>1</v>
      </c>
      <c r="H4">
        <v>1</v>
      </c>
      <c r="I4">
        <v>1</v>
      </c>
      <c r="J4">
        <v>0</v>
      </c>
    </row>
    <row r="5" spans="1:10" x14ac:dyDescent="0.25">
      <c r="A5" t="s">
        <v>119</v>
      </c>
      <c r="C5">
        <v>0</v>
      </c>
      <c r="D5">
        <v>0</v>
      </c>
      <c r="E5">
        <v>1</v>
      </c>
      <c r="F5">
        <v>0</v>
      </c>
      <c r="G5">
        <v>1</v>
      </c>
      <c r="H5">
        <v>0</v>
      </c>
      <c r="I5">
        <v>0</v>
      </c>
      <c r="J5">
        <v>0</v>
      </c>
    </row>
    <row r="6" spans="1:10" x14ac:dyDescent="0.25">
      <c r="A6" t="s">
        <v>120</v>
      </c>
      <c r="C6">
        <v>0</v>
      </c>
      <c r="D6">
        <v>0</v>
      </c>
      <c r="E6">
        <v>1</v>
      </c>
      <c r="F6">
        <v>1</v>
      </c>
      <c r="G6">
        <v>0</v>
      </c>
      <c r="H6">
        <v>0</v>
      </c>
      <c r="I6">
        <v>1</v>
      </c>
      <c r="J6">
        <v>0</v>
      </c>
    </row>
    <row r="7" spans="1:10" x14ac:dyDescent="0.25">
      <c r="A7" t="s">
        <v>121</v>
      </c>
      <c r="C7">
        <v>0</v>
      </c>
      <c r="D7">
        <v>0</v>
      </c>
      <c r="E7">
        <v>1</v>
      </c>
      <c r="F7">
        <v>1</v>
      </c>
      <c r="G7">
        <v>1</v>
      </c>
      <c r="H7">
        <v>1</v>
      </c>
      <c r="I7">
        <v>0</v>
      </c>
      <c r="J7">
        <v>0</v>
      </c>
    </row>
    <row r="8" spans="1:10" x14ac:dyDescent="0.25">
      <c r="A8" t="s">
        <v>122</v>
      </c>
      <c r="C8">
        <v>0</v>
      </c>
      <c r="D8">
        <v>1</v>
      </c>
      <c r="E8">
        <v>0</v>
      </c>
      <c r="F8">
        <v>0</v>
      </c>
      <c r="G8">
        <v>0</v>
      </c>
      <c r="H8">
        <v>1</v>
      </c>
      <c r="I8">
        <v>1</v>
      </c>
      <c r="J8">
        <v>0</v>
      </c>
    </row>
    <row r="9" spans="1:10" x14ac:dyDescent="0.25">
      <c r="A9" t="s">
        <v>123</v>
      </c>
      <c r="C9">
        <v>0</v>
      </c>
      <c r="D9">
        <v>1</v>
      </c>
      <c r="E9">
        <v>0</v>
      </c>
      <c r="F9">
        <v>1</v>
      </c>
      <c r="G9">
        <v>0</v>
      </c>
      <c r="H9">
        <v>0</v>
      </c>
      <c r="I9">
        <v>0</v>
      </c>
      <c r="J9">
        <v>0</v>
      </c>
    </row>
    <row r="10" spans="1:10" x14ac:dyDescent="0.25">
      <c r="A10" t="s">
        <v>124</v>
      </c>
      <c r="C10">
        <v>0</v>
      </c>
      <c r="D10">
        <v>1</v>
      </c>
      <c r="E10">
        <v>0</v>
      </c>
      <c r="F10">
        <v>1</v>
      </c>
      <c r="G10">
        <v>1</v>
      </c>
      <c r="H10">
        <v>0</v>
      </c>
      <c r="I10">
        <v>1</v>
      </c>
      <c r="J10">
        <v>0</v>
      </c>
    </row>
    <row r="11" spans="1:10" x14ac:dyDescent="0.25">
      <c r="A11" t="s">
        <v>125</v>
      </c>
      <c r="C11">
        <v>0</v>
      </c>
      <c r="D11">
        <v>1</v>
      </c>
      <c r="E11">
        <v>1</v>
      </c>
      <c r="F11">
        <v>0</v>
      </c>
      <c r="G11">
        <v>0</v>
      </c>
      <c r="H11">
        <v>1</v>
      </c>
      <c r="I11">
        <v>0</v>
      </c>
      <c r="J11">
        <v>0</v>
      </c>
    </row>
    <row r="12" spans="1:10" x14ac:dyDescent="0.25">
      <c r="A12" t="s">
        <v>126</v>
      </c>
      <c r="C12">
        <v>0</v>
      </c>
      <c r="D12">
        <v>1</v>
      </c>
      <c r="E12">
        <v>0</v>
      </c>
      <c r="F12">
        <v>1</v>
      </c>
      <c r="G12">
        <v>1</v>
      </c>
      <c r="H12">
        <v>1</v>
      </c>
      <c r="I12">
        <v>1</v>
      </c>
      <c r="J12">
        <v>0</v>
      </c>
    </row>
    <row r="13" spans="1:10" x14ac:dyDescent="0.25">
      <c r="A13" t="s">
        <v>127</v>
      </c>
      <c r="C13">
        <v>0</v>
      </c>
      <c r="D13">
        <v>1</v>
      </c>
      <c r="E13">
        <v>1</v>
      </c>
      <c r="F13">
        <v>1</v>
      </c>
      <c r="G13">
        <v>1</v>
      </c>
      <c r="H13">
        <v>0</v>
      </c>
      <c r="I13">
        <v>0</v>
      </c>
      <c r="J13">
        <v>0</v>
      </c>
    </row>
    <row r="14" spans="1:10" x14ac:dyDescent="0.25">
      <c r="A14" t="s">
        <v>128</v>
      </c>
      <c r="C14">
        <v>1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</row>
    <row r="15" spans="1:10" x14ac:dyDescent="0.25">
      <c r="A15" t="s">
        <v>129</v>
      </c>
      <c r="C15">
        <v>1</v>
      </c>
      <c r="D15">
        <v>0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 x14ac:dyDescent="0.25">
      <c r="A16" t="s">
        <v>130</v>
      </c>
      <c r="C16">
        <v>1</v>
      </c>
      <c r="D16">
        <v>0</v>
      </c>
      <c r="E16">
        <v>0</v>
      </c>
      <c r="F16">
        <v>1</v>
      </c>
      <c r="G16">
        <v>0</v>
      </c>
      <c r="H16">
        <v>1</v>
      </c>
      <c r="I16">
        <v>1</v>
      </c>
      <c r="J16">
        <v>0</v>
      </c>
    </row>
    <row r="17" spans="1:10" x14ac:dyDescent="0.25">
      <c r="A17" t="s">
        <v>131</v>
      </c>
      <c r="C17">
        <v>1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25">
      <c r="A18" t="s">
        <v>132</v>
      </c>
      <c r="C18">
        <v>1</v>
      </c>
      <c r="D18">
        <v>0</v>
      </c>
      <c r="E18">
        <v>1</v>
      </c>
      <c r="F18">
        <v>0</v>
      </c>
      <c r="G18">
        <v>1</v>
      </c>
      <c r="H18">
        <v>0</v>
      </c>
      <c r="I18">
        <v>1</v>
      </c>
      <c r="J18">
        <v>0</v>
      </c>
    </row>
    <row r="19" spans="1:10" x14ac:dyDescent="0.25">
      <c r="A19" t="s">
        <v>133</v>
      </c>
      <c r="C19">
        <v>1</v>
      </c>
      <c r="D19">
        <v>0</v>
      </c>
      <c r="E19">
        <v>1</v>
      </c>
      <c r="F19">
        <v>1</v>
      </c>
      <c r="G19">
        <v>0</v>
      </c>
      <c r="H19">
        <v>1</v>
      </c>
      <c r="I19">
        <v>0</v>
      </c>
      <c r="J19">
        <v>0</v>
      </c>
    </row>
    <row r="26" spans="1:10" x14ac:dyDescent="0.25">
      <c r="C26" s="6">
        <v>16</v>
      </c>
      <c r="D26" s="6">
        <v>8</v>
      </c>
      <c r="E26" s="6">
        <v>4</v>
      </c>
      <c r="F26" s="6">
        <v>2</v>
      </c>
      <c r="G26" s="6">
        <v>1</v>
      </c>
    </row>
    <row r="27" spans="1:10" x14ac:dyDescent="0.25">
      <c r="C27">
        <v>0</v>
      </c>
      <c r="D27">
        <v>0</v>
      </c>
      <c r="E27">
        <v>0</v>
      </c>
      <c r="F27">
        <v>0</v>
      </c>
      <c r="G27">
        <v>0</v>
      </c>
      <c r="H27">
        <f>C$26*C27+D$26*D27+E$26*E27+F$26*F27+G$26*G27</f>
        <v>0</v>
      </c>
    </row>
    <row r="28" spans="1:10" x14ac:dyDescent="0.25">
      <c r="C28">
        <v>0</v>
      </c>
      <c r="D28">
        <v>0</v>
      </c>
      <c r="E28">
        <v>0</v>
      </c>
      <c r="F28">
        <v>0</v>
      </c>
      <c r="G28">
        <v>1</v>
      </c>
      <c r="H28">
        <f t="shared" ref="H28:H45" si="0">C$26*C28+D$26*D28+E$26*E28+F$26*F28+G$26*G28</f>
        <v>1</v>
      </c>
    </row>
    <row r="29" spans="1:10" x14ac:dyDescent="0.25">
      <c r="C29">
        <v>0</v>
      </c>
      <c r="D29">
        <v>0</v>
      </c>
      <c r="E29">
        <v>0</v>
      </c>
      <c r="F29">
        <v>1</v>
      </c>
      <c r="G29">
        <v>0</v>
      </c>
      <c r="H29">
        <f t="shared" si="0"/>
        <v>2</v>
      </c>
    </row>
    <row r="30" spans="1:10" x14ac:dyDescent="0.25">
      <c r="C30">
        <v>0</v>
      </c>
      <c r="D30">
        <v>0</v>
      </c>
      <c r="E30">
        <v>0</v>
      </c>
      <c r="F30">
        <v>1</v>
      </c>
      <c r="G30">
        <v>1</v>
      </c>
      <c r="H30">
        <f t="shared" si="0"/>
        <v>3</v>
      </c>
    </row>
    <row r="31" spans="1:10" x14ac:dyDescent="0.25">
      <c r="C31">
        <v>0</v>
      </c>
      <c r="D31">
        <v>0</v>
      </c>
      <c r="E31">
        <v>1</v>
      </c>
      <c r="F31">
        <v>0</v>
      </c>
      <c r="G31">
        <v>1</v>
      </c>
      <c r="H31">
        <f t="shared" si="0"/>
        <v>5</v>
      </c>
    </row>
    <row r="32" spans="1:10" x14ac:dyDescent="0.25">
      <c r="C32">
        <v>0</v>
      </c>
      <c r="D32">
        <v>0</v>
      </c>
      <c r="E32">
        <v>1</v>
      </c>
      <c r="F32">
        <v>1</v>
      </c>
      <c r="G32">
        <v>0</v>
      </c>
      <c r="H32">
        <f t="shared" si="0"/>
        <v>6</v>
      </c>
    </row>
    <row r="33" spans="3:8" x14ac:dyDescent="0.25">
      <c r="C33">
        <v>0</v>
      </c>
      <c r="D33">
        <v>0</v>
      </c>
      <c r="E33">
        <v>1</v>
      </c>
      <c r="F33">
        <v>1</v>
      </c>
      <c r="G33">
        <v>1</v>
      </c>
      <c r="H33">
        <f t="shared" si="0"/>
        <v>7</v>
      </c>
    </row>
    <row r="34" spans="3:8" x14ac:dyDescent="0.25">
      <c r="C34">
        <v>0</v>
      </c>
      <c r="D34">
        <v>1</v>
      </c>
      <c r="E34">
        <v>0</v>
      </c>
      <c r="F34">
        <v>0</v>
      </c>
      <c r="G34">
        <v>0</v>
      </c>
      <c r="H34">
        <f t="shared" si="0"/>
        <v>8</v>
      </c>
    </row>
    <row r="35" spans="3:8" x14ac:dyDescent="0.25">
      <c r="C35">
        <v>0</v>
      </c>
      <c r="D35">
        <v>1</v>
      </c>
      <c r="E35">
        <v>0</v>
      </c>
      <c r="F35">
        <v>1</v>
      </c>
      <c r="G35">
        <v>0</v>
      </c>
      <c r="H35">
        <f t="shared" si="0"/>
        <v>10</v>
      </c>
    </row>
    <row r="36" spans="3:8" x14ac:dyDescent="0.25">
      <c r="C36">
        <v>0</v>
      </c>
      <c r="D36">
        <v>1</v>
      </c>
      <c r="E36">
        <v>0</v>
      </c>
      <c r="F36">
        <v>1</v>
      </c>
      <c r="G36">
        <v>1</v>
      </c>
      <c r="H36">
        <f t="shared" si="0"/>
        <v>11</v>
      </c>
    </row>
    <row r="37" spans="3:8" x14ac:dyDescent="0.25">
      <c r="C37">
        <v>0</v>
      </c>
      <c r="D37">
        <v>1</v>
      </c>
      <c r="E37">
        <v>1</v>
      </c>
      <c r="F37">
        <v>0</v>
      </c>
      <c r="G37">
        <v>0</v>
      </c>
      <c r="H37">
        <f t="shared" si="0"/>
        <v>12</v>
      </c>
    </row>
    <row r="38" spans="3:8" x14ac:dyDescent="0.25">
      <c r="C38">
        <v>0</v>
      </c>
      <c r="D38">
        <v>1</v>
      </c>
      <c r="E38">
        <v>0</v>
      </c>
      <c r="F38">
        <v>1</v>
      </c>
      <c r="G38">
        <v>1</v>
      </c>
      <c r="H38">
        <f t="shared" si="0"/>
        <v>11</v>
      </c>
    </row>
    <row r="39" spans="3:8" x14ac:dyDescent="0.25">
      <c r="C39">
        <v>0</v>
      </c>
      <c r="D39">
        <v>1</v>
      </c>
      <c r="E39">
        <v>1</v>
      </c>
      <c r="F39">
        <v>1</v>
      </c>
      <c r="G39">
        <v>1</v>
      </c>
      <c r="H39">
        <f t="shared" si="0"/>
        <v>15</v>
      </c>
    </row>
    <row r="40" spans="3:8" x14ac:dyDescent="0.25">
      <c r="C40">
        <v>1</v>
      </c>
      <c r="D40">
        <v>0</v>
      </c>
      <c r="E40">
        <v>0</v>
      </c>
      <c r="F40">
        <v>0</v>
      </c>
      <c r="G40">
        <v>0</v>
      </c>
      <c r="H40">
        <f t="shared" si="0"/>
        <v>16</v>
      </c>
    </row>
    <row r="41" spans="3:8" x14ac:dyDescent="0.25">
      <c r="C41">
        <v>1</v>
      </c>
      <c r="D41">
        <v>0</v>
      </c>
      <c r="E41">
        <v>0</v>
      </c>
      <c r="F41">
        <v>0</v>
      </c>
      <c r="G41">
        <v>1</v>
      </c>
      <c r="H41">
        <f t="shared" si="0"/>
        <v>17</v>
      </c>
    </row>
    <row r="42" spans="3:8" x14ac:dyDescent="0.25">
      <c r="C42">
        <v>1</v>
      </c>
      <c r="D42">
        <v>0</v>
      </c>
      <c r="E42">
        <v>0</v>
      </c>
      <c r="F42">
        <v>1</v>
      </c>
      <c r="G42">
        <v>0</v>
      </c>
      <c r="H42">
        <f t="shared" si="0"/>
        <v>18</v>
      </c>
    </row>
    <row r="43" spans="3:8" x14ac:dyDescent="0.25">
      <c r="C43">
        <v>1</v>
      </c>
      <c r="D43">
        <v>0</v>
      </c>
      <c r="E43">
        <v>1</v>
      </c>
      <c r="F43">
        <v>0</v>
      </c>
      <c r="G43">
        <v>0</v>
      </c>
      <c r="H43">
        <f t="shared" si="0"/>
        <v>20</v>
      </c>
    </row>
    <row r="44" spans="3:8" x14ac:dyDescent="0.25">
      <c r="C44">
        <v>1</v>
      </c>
      <c r="D44">
        <v>0</v>
      </c>
      <c r="E44">
        <v>1</v>
      </c>
      <c r="F44">
        <v>0</v>
      </c>
      <c r="G44">
        <v>1</v>
      </c>
      <c r="H44">
        <f t="shared" si="0"/>
        <v>21</v>
      </c>
    </row>
    <row r="45" spans="3:8" x14ac:dyDescent="0.25">
      <c r="C45">
        <v>1</v>
      </c>
      <c r="D45">
        <v>0</v>
      </c>
      <c r="E45">
        <v>1</v>
      </c>
      <c r="F45">
        <v>1</v>
      </c>
      <c r="G45">
        <v>0</v>
      </c>
      <c r="H45">
        <f t="shared" si="0"/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brivis - nocontroller</vt:lpstr>
      <vt:lpstr>brivis - powerup</vt:lpstr>
      <vt:lpstr>brivis - off</vt:lpstr>
      <vt:lpstr>brivis - manual turnon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simon</cp:lastModifiedBy>
  <dcterms:created xsi:type="dcterms:W3CDTF">2021-06-13T02:07:17Z</dcterms:created>
  <dcterms:modified xsi:type="dcterms:W3CDTF">2022-07-19T07:39:32Z</dcterms:modified>
</cp:coreProperties>
</file>